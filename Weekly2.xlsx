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veriteresearch-my.sharepoint.com/personal/harshana_veriteresearch_org/Documents/"/>
    </mc:Choice>
  </mc:AlternateContent>
  <xr:revisionPtr revIDLastSave="0" documentId="8_{2B66B00C-CC5A-4DEA-93DE-64A3D49F4237}" xr6:coauthVersionLast="47" xr6:coauthVersionMax="47" xr10:uidLastSave="{00000000-0000-0000-0000-000000000000}"/>
  <bookViews>
    <workbookView xWindow="0" yWindow="680" windowWidth="27040" windowHeight="16880" activeTab="3" xr2:uid="{633F0F9D-DF10-3E42-B28A-F558D792D1E9}"/>
  </bookViews>
  <sheets>
    <sheet name="Dashboard" sheetId="5" r:id="rId1"/>
    <sheet name="Data" sheetId="4" r:id="rId2"/>
    <sheet name="Indicators" sheetId="3" r:id="rId3"/>
    <sheet name="Instruction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" i="5" l="1"/>
  <c r="P23" i="5"/>
  <c r="P22" i="5"/>
  <c r="P21" i="5"/>
  <c r="P20" i="5"/>
  <c r="P19" i="5"/>
  <c r="P18" i="5"/>
  <c r="P17" i="5"/>
  <c r="P16" i="5"/>
  <c r="O16" i="5"/>
  <c r="N16" i="5"/>
  <c r="K16" i="5"/>
  <c r="J16" i="5"/>
  <c r="I16" i="5"/>
  <c r="H16" i="5"/>
  <c r="P15" i="5"/>
  <c r="P14" i="5"/>
  <c r="P13" i="5"/>
  <c r="P12" i="5"/>
  <c r="P11" i="5"/>
  <c r="P10" i="5"/>
  <c r="P9" i="5"/>
  <c r="P8" i="5"/>
  <c r="P7" i="5"/>
  <c r="P6" i="5"/>
  <c r="P5" i="5"/>
  <c r="N22" i="5"/>
  <c r="N21" i="5"/>
  <c r="L21" i="5"/>
  <c r="J21" i="5"/>
  <c r="H21" i="5"/>
  <c r="F21" i="5"/>
  <c r="D21" i="5"/>
  <c r="N20" i="5"/>
  <c r="L20" i="5"/>
  <c r="J20" i="5"/>
  <c r="H20" i="5"/>
  <c r="F20" i="5"/>
  <c r="D20" i="5"/>
  <c r="N19" i="5"/>
  <c r="L19" i="5"/>
  <c r="J19" i="5"/>
  <c r="H19" i="5"/>
  <c r="F19" i="5"/>
  <c r="D19" i="5"/>
  <c r="L18" i="5"/>
  <c r="J18" i="5"/>
  <c r="H18" i="5"/>
  <c r="F18" i="5"/>
  <c r="D18" i="5"/>
  <c r="N17" i="5"/>
  <c r="L17" i="5"/>
  <c r="J17" i="5"/>
  <c r="H17" i="5"/>
  <c r="F17" i="5"/>
  <c r="D17" i="5"/>
  <c r="L16" i="5"/>
  <c r="F16" i="5"/>
  <c r="D16" i="5"/>
  <c r="N15" i="5"/>
  <c r="L15" i="5"/>
  <c r="J15" i="5"/>
  <c r="H15" i="5"/>
  <c r="F15" i="5"/>
  <c r="D15" i="5"/>
  <c r="N14" i="5"/>
  <c r="L14" i="5"/>
  <c r="J14" i="5"/>
  <c r="H14" i="5"/>
  <c r="F14" i="5"/>
  <c r="D14" i="5"/>
  <c r="N13" i="5"/>
  <c r="L13" i="5"/>
  <c r="J13" i="5"/>
  <c r="H13" i="5"/>
  <c r="F13" i="5"/>
  <c r="D13" i="5"/>
  <c r="N12" i="5"/>
  <c r="L12" i="5"/>
  <c r="J12" i="5"/>
  <c r="H12" i="5"/>
  <c r="F12" i="5"/>
  <c r="D12" i="5"/>
  <c r="N11" i="5"/>
  <c r="L11" i="5"/>
  <c r="J11" i="5"/>
  <c r="H11" i="5"/>
  <c r="F11" i="5"/>
  <c r="D11" i="5"/>
  <c r="N10" i="5"/>
  <c r="L10" i="5"/>
  <c r="J10" i="5"/>
  <c r="H10" i="5"/>
  <c r="F10" i="5"/>
  <c r="D10" i="5"/>
  <c r="N9" i="5"/>
  <c r="L9" i="5"/>
  <c r="J9" i="5"/>
  <c r="H9" i="5"/>
  <c r="F9" i="5"/>
  <c r="D9" i="5"/>
  <c r="N8" i="5"/>
  <c r="L8" i="5"/>
  <c r="J8" i="5"/>
  <c r="H8" i="5"/>
  <c r="F8" i="5"/>
  <c r="D8" i="5"/>
  <c r="N7" i="5"/>
  <c r="L7" i="5"/>
  <c r="J7" i="5"/>
  <c r="H7" i="5"/>
  <c r="F7" i="5"/>
  <c r="D7" i="5"/>
  <c r="N6" i="5"/>
  <c r="L6" i="5"/>
  <c r="J6" i="5"/>
  <c r="H6" i="5"/>
  <c r="F6" i="5"/>
  <c r="D6" i="5"/>
  <c r="N5" i="5"/>
  <c r="L5" i="5"/>
  <c r="J5" i="5"/>
  <c r="H5" i="5"/>
  <c r="F5" i="5"/>
  <c r="D5" i="5"/>
  <c r="O23" i="5" l="1"/>
  <c r="N23" i="5"/>
  <c r="M23" i="5"/>
  <c r="L23" i="5"/>
  <c r="K23" i="5"/>
  <c r="J23" i="5"/>
  <c r="I23" i="5"/>
  <c r="H23" i="5"/>
  <c r="G23" i="5"/>
  <c r="F23" i="5"/>
  <c r="E23" i="5"/>
  <c r="D23" i="5"/>
  <c r="O22" i="5"/>
  <c r="O21" i="5"/>
  <c r="M21" i="5"/>
  <c r="K21" i="5"/>
  <c r="I21" i="5"/>
  <c r="G21" i="5"/>
  <c r="E21" i="5"/>
  <c r="O20" i="5"/>
  <c r="M20" i="5"/>
  <c r="K20" i="5"/>
  <c r="I20" i="5"/>
  <c r="G20" i="5"/>
  <c r="E20" i="5"/>
  <c r="O19" i="5"/>
  <c r="M19" i="5"/>
  <c r="K19" i="5"/>
  <c r="I19" i="5"/>
  <c r="G19" i="5"/>
  <c r="E19" i="5"/>
  <c r="O18" i="5"/>
  <c r="M18" i="5"/>
  <c r="K18" i="5"/>
  <c r="I18" i="5"/>
  <c r="G18" i="5"/>
  <c r="E18" i="5"/>
  <c r="O17" i="5"/>
  <c r="M17" i="5"/>
  <c r="K17" i="5"/>
  <c r="I17" i="5"/>
  <c r="G17" i="5"/>
  <c r="E17" i="5"/>
  <c r="M16" i="5"/>
  <c r="G16" i="5"/>
  <c r="E16" i="5"/>
  <c r="O15" i="5"/>
  <c r="M15" i="5"/>
  <c r="K15" i="5"/>
  <c r="I15" i="5"/>
  <c r="G15" i="5"/>
  <c r="E15" i="5"/>
  <c r="O14" i="5"/>
  <c r="M14" i="5"/>
  <c r="K14" i="5"/>
  <c r="I14" i="5"/>
  <c r="G14" i="5"/>
  <c r="E14" i="5"/>
  <c r="O13" i="5"/>
  <c r="M13" i="5"/>
  <c r="K13" i="5"/>
  <c r="I13" i="5"/>
  <c r="G13" i="5"/>
  <c r="E13" i="5"/>
  <c r="O12" i="5"/>
  <c r="M12" i="5"/>
  <c r="K12" i="5"/>
  <c r="I12" i="5"/>
  <c r="G12" i="5"/>
  <c r="E12" i="5"/>
  <c r="O11" i="5"/>
  <c r="M11" i="5"/>
  <c r="K11" i="5"/>
  <c r="I11" i="5"/>
  <c r="G11" i="5"/>
  <c r="E11" i="5"/>
  <c r="O10" i="5"/>
  <c r="M10" i="5"/>
  <c r="K10" i="5"/>
  <c r="I10" i="5"/>
  <c r="G10" i="5"/>
  <c r="E10" i="5"/>
  <c r="O9" i="5"/>
  <c r="M9" i="5"/>
  <c r="K9" i="5"/>
  <c r="I9" i="5"/>
  <c r="G9" i="5"/>
  <c r="E9" i="5"/>
  <c r="O8" i="5"/>
  <c r="M8" i="5"/>
  <c r="K8" i="5"/>
  <c r="I8" i="5"/>
  <c r="G8" i="5"/>
  <c r="E8" i="5"/>
  <c r="O7" i="5"/>
  <c r="M7" i="5"/>
  <c r="K7" i="5"/>
  <c r="I7" i="5"/>
  <c r="G7" i="5"/>
  <c r="E7" i="5"/>
  <c r="O6" i="5"/>
  <c r="M6" i="5"/>
  <c r="K6" i="5"/>
  <c r="I6" i="5"/>
  <c r="G6" i="5"/>
  <c r="E6" i="5"/>
  <c r="O5" i="5"/>
  <c r="M5" i="5"/>
  <c r="K5" i="5"/>
  <c r="I5" i="5"/>
  <c r="G5" i="5"/>
  <c r="E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Harshana Wickramaarachchi</author>
  </authors>
  <commentList>
    <comment ref="T1" authorId="0" shapeId="0" xr:uid="{7B675774-4A27-7B49-A2FC-2DC555D29F21}">
      <text>
        <r>
          <rPr>
            <b/>
            <sz val="10"/>
            <color rgb="FF000000"/>
            <rFont val="Tahoma"/>
            <family val="2"/>
          </rPr>
          <t>Tharindu Harshana Wickramaarachchi:</t>
        </r>
        <r>
          <rPr>
            <sz val="10"/>
            <color rgb="FF000000"/>
            <rFont val="Tahoma"/>
            <family val="2"/>
          </rPr>
          <t xml:space="preserve">
Enter current week-ending date here</t>
        </r>
      </text>
    </comment>
  </commentList>
</comments>
</file>

<file path=xl/sharedStrings.xml><?xml version="1.0" encoding="utf-8"?>
<sst xmlns="http://schemas.openxmlformats.org/spreadsheetml/2006/main" count="594" uniqueCount="399">
  <si>
    <t>WEEKLY GLOBAL MACRO MONITOR</t>
  </si>
  <si>
    <t>Week Ending:</t>
  </si>
  <si>
    <t>Country Indicator Heatmap</t>
  </si>
  <si>
    <t>Prepared by:</t>
  </si>
  <si>
    <t>Research &amp; Strategy</t>
  </si>
  <si>
    <t>Category</t>
  </si>
  <si>
    <t>Indicator</t>
  </si>
  <si>
    <t>Unit</t>
  </si>
  <si>
    <t>🇺🇸 USA</t>
  </si>
  <si>
    <t>▼ / ▲ / ↔</t>
  </si>
  <si>
    <t>🇪🇺 EUR</t>
  </si>
  <si>
    <t>🇸🇬 SGP</t>
  </si>
  <si>
    <t>🇨🇳 CHN</t>
  </si>
  <si>
    <t>🇮🇳 IND</t>
  </si>
  <si>
    <t>🇱🇰 LKA</t>
  </si>
  <si>
    <t>Freq.</t>
  </si>
  <si>
    <t>Latest Date</t>
  </si>
  <si>
    <t>GROWTH</t>
  </si>
  <si>
    <t>GDP Growth (YoY %)</t>
  </si>
  <si>
    <t>% YoY</t>
  </si>
  <si>
    <t>Manufacturing PMI</t>
  </si>
  <si>
    <t>Index</t>
  </si>
  <si>
    <t>Services PMI</t>
  </si>
  <si>
    <t>Industrial Production (YoY %)</t>
  </si>
  <si>
    <t>INFLATION</t>
  </si>
  <si>
    <t>Headline CPI (YoY %)</t>
  </si>
  <si>
    <t>Core CPI (YoY %)</t>
  </si>
  <si>
    <t>Food Inflation (YoY %)</t>
  </si>
  <si>
    <t>MONETARY</t>
  </si>
  <si>
    <t>Policy Rate (%)</t>
  </si>
  <si>
    <t>%</t>
  </si>
  <si>
    <t>10Y Bond Yield (%)</t>
  </si>
  <si>
    <t>Yield Curve (10Y−2Y, bps)</t>
  </si>
  <si>
    <t>bps</t>
  </si>
  <si>
    <t>LABOUR</t>
  </si>
  <si>
    <t>Unemployment Rate (%)</t>
  </si>
  <si>
    <t>Wage Growth (YoY %)</t>
  </si>
  <si>
    <t>MARKETS</t>
  </si>
  <si>
    <t>Equity Index (WoW %)</t>
  </si>
  <si>
    <t>% WoW</t>
  </si>
  <si>
    <t>FX vs USD (WoW %)</t>
  </si>
  <si>
    <t>Credit Spreads/CDS (bps)</t>
  </si>
  <si>
    <t>EXTERNAL</t>
  </si>
  <si>
    <t>Trade Balance (USD bn)</t>
  </si>
  <si>
    <t>USD bn</t>
  </si>
  <si>
    <t>FX Reserves (USD bn)</t>
  </si>
  <si>
    <t>Remittances – SL only (USD mn)</t>
  </si>
  <si>
    <t>USD mn</t>
  </si>
  <si>
    <t>—</t>
  </si>
  <si>
    <t>COMMODITY</t>
  </si>
  <si>
    <t>Brent Crude Oil (USD/bbl)</t>
  </si>
  <si>
    <t>USD/bbl</t>
  </si>
  <si>
    <t>RAG LEGEND</t>
  </si>
  <si>
    <t>Green = Positive / On-target</t>
  </si>
  <si>
    <t>Amber = Caution / Near threshold</t>
  </si>
  <si>
    <t>Red = Negative / Breach</t>
  </si>
  <si>
    <t>▲ = Rising vs prior period</t>
  </si>
  <si>
    <t>▼ = Falling vs prior period</t>
  </si>
  <si>
    <t>↔ = Unchanged</t>
  </si>
  <si>
    <t>n/a = No data yet. Enter values in the Data sheet to activate.</t>
  </si>
  <si>
    <t>SECTION KEY</t>
  </si>
  <si>
    <t>GDP | Mfg PMI | Services PMI | Industrial Production</t>
  </si>
  <si>
    <t>Headline CPI | Core CPI | Food Inflation</t>
  </si>
  <si>
    <t>Policy Rate | 10Y Bond Yield | Yield Curve Slope</t>
  </si>
  <si>
    <t>Unemployment Rate | Wage Growth</t>
  </si>
  <si>
    <t>Equity Index (WoW%) | FX vs USD (WoW%) | Credit Spreads / CDS</t>
  </si>
  <si>
    <t>Trade Balance | FX Reserves | SL Remittances</t>
  </si>
  <si>
    <t>Brent Crude Oil — global indicator applied to all countries</t>
  </si>
  <si>
    <t>WEEKLY DATA ENTRY — LIVE VALUES &amp; PRIOR PERIOD</t>
  </si>
  <si>
    <t>ID</t>
  </si>
  <si>
    <t>UNITED STATES</t>
  </si>
  <si>
    <t>▶ Prior (US)</t>
  </si>
  <si>
    <t>EURO AREA</t>
  </si>
  <si>
    <t>▶ Prior (EUR)</t>
  </si>
  <si>
    <t>SINGAPORE</t>
  </si>
  <si>
    <t>▶ Prior (SGP)</t>
  </si>
  <si>
    <t>CHINA</t>
  </si>
  <si>
    <t>▶ Prior (CHN)</t>
  </si>
  <si>
    <t>INDIA</t>
  </si>
  <si>
    <t>▶ Prior (IND)</t>
  </si>
  <si>
    <t>SRI LANKA</t>
  </si>
  <si>
    <t>▶ Prior (LKR)</t>
  </si>
  <si>
    <t>Release Date</t>
  </si>
  <si>
    <t>Week Ending</t>
  </si>
  <si>
    <t>G1</t>
  </si>
  <si>
    <t>Quarterly</t>
  </si>
  <si>
    <t>G2</t>
  </si>
  <si>
    <t>Monthly (1st week)</t>
  </si>
  <si>
    <t>G3</t>
  </si>
  <si>
    <t>G4</t>
  </si>
  <si>
    <t>Monthly</t>
  </si>
  <si>
    <t>I1</t>
  </si>
  <si>
    <t>Monthly (2nd week)</t>
  </si>
  <si>
    <t>I2</t>
  </si>
  <si>
    <t>I3</t>
  </si>
  <si>
    <t>M1</t>
  </si>
  <si>
    <t>Per meeting</t>
  </si>
  <si>
    <t>M2</t>
  </si>
  <si>
    <t>Weekly (Friday)</t>
  </si>
  <si>
    <t>M3</t>
  </si>
  <si>
    <t>Weekly</t>
  </si>
  <si>
    <t>L1</t>
  </si>
  <si>
    <t>L2</t>
  </si>
  <si>
    <t>Monthly/Quarterly</t>
  </si>
  <si>
    <t>F1</t>
  </si>
  <si>
    <t>F2</t>
  </si>
  <si>
    <t>F3</t>
  </si>
  <si>
    <t>Credit Spreads / CDS (bps)</t>
  </si>
  <si>
    <t>E1</t>
  </si>
  <si>
    <t>E2</t>
  </si>
  <si>
    <t>E3</t>
  </si>
  <si>
    <t>C1</t>
  </si>
  <si>
    <t>Brent Crude (USD/bbl)</t>
  </si>
  <si>
    <t>WEEKLY GLOBAL MACRO MONITOR — INDICATOR REFERENCE</t>
  </si>
  <si>
    <t>Indicator Name</t>
  </si>
  <si>
    <t>Description</t>
  </si>
  <si>
    <t>Frequency</t>
  </si>
  <si>
    <t>RAG Logic (Green)</t>
  </si>
  <si>
    <t>RAG Logic (Amber)</t>
  </si>
  <si>
    <t>RAG Logic (Red)</t>
  </si>
  <si>
    <t>Bloomberg Ticker (US)</t>
  </si>
  <si>
    <t>Bloomberg Ticker (Euro Area)</t>
  </si>
  <si>
    <t>Bloomberg Ticker (Singapore)</t>
  </si>
  <si>
    <t>Bloomberg Ticker (China)</t>
  </si>
  <si>
    <t>Bloomberg Ticker (India)</t>
  </si>
  <si>
    <t>Bloomberg Ticker (Sri Lanka)</t>
  </si>
  <si>
    <t>Notes</t>
  </si>
  <si>
    <t>Growth</t>
  </si>
  <si>
    <t>Real GDP, year-on-year % change (latest quarterly release)</t>
  </si>
  <si>
    <t>&gt;2.5% (DM); &gt;5% (EM)</t>
  </si>
  <si>
    <t>1–2.5% (DM); 3–5% (EM)</t>
  </si>
  <si>
    <t>&lt;1% (DM); &lt;3% (EM) or negative</t>
  </si>
  <si>
    <t>GDP CQOQ Index</t>
  </si>
  <si>
    <t>EUGNEMUQ Index</t>
  </si>
  <si>
    <t>SGDPYOY Index</t>
  </si>
  <si>
    <t>CNGDPYOY Index</t>
  </si>
  <si>
    <t>INGDPYOY Index</t>
  </si>
  <si>
    <t>SLGDPYOY Index</t>
  </si>
  <si>
    <t>Use Q/Q annualised for US; YoY for all others</t>
  </si>
  <si>
    <t>S&amp;P Global / ISM Manufacturing PMI; 50 = expansion/contraction threshold</t>
  </si>
  <si>
    <t>&gt;52 and improving MoM</t>
  </si>
  <si>
    <t>50–52 or stable</t>
  </si>
  <si>
    <t>&lt;50 (contraction)</t>
  </si>
  <si>
    <t>MPMIUS Index</t>
  </si>
  <si>
    <t>MPMIDE Index</t>
  </si>
  <si>
    <t>MPMISI Index</t>
  </si>
  <si>
    <t>MPMICP Index</t>
  </si>
  <si>
    <t>MPMIIN Index</t>
  </si>
  <si>
    <t>MPMILK Index</t>
  </si>
  <si>
    <t>Monthly release; use S&amp;P Global for comparability across all 6</t>
  </si>
  <si>
    <t>S&amp;P Global Services PMI; covers ~80% of GDP in most economies</t>
  </si>
  <si>
    <t>MPMIUS Services Index</t>
  </si>
  <si>
    <t>MPMIEZ Services Index</t>
  </si>
  <si>
    <t>MPMISI Services Index</t>
  </si>
  <si>
    <t>MPMICP Services Index</t>
  </si>
  <si>
    <t>MPMIIN Services Index</t>
  </si>
  <si>
    <t>MPMILK Services Index</t>
  </si>
  <si>
    <t>Sri Lanka: use CBSL services index if PMI unavailable</t>
  </si>
  <si>
    <t>Manufacturing/industrial output, year-on-year % change</t>
  </si>
  <si>
    <t>&gt;3% YoY</t>
  </si>
  <si>
    <t>0–3% YoY</t>
  </si>
  <si>
    <t>&lt;0% YoY (contraction)</t>
  </si>
  <si>
    <t>IP CHNG Index</t>
  </si>
  <si>
    <t>EUIPYOY Index</t>
  </si>
  <si>
    <t>SGIPYOY Index</t>
  </si>
  <si>
    <t>CNIPYOY Index</t>
  </si>
  <si>
    <t>INIPYOY Index</t>
  </si>
  <si>
    <t>SLIPYOY Index</t>
  </si>
  <si>
    <t>Inflation</t>
  </si>
  <si>
    <t>Consumer Price Index, year-on-year % change</t>
  </si>
  <si>
    <t>Within 0.5pp of central bank target</t>
  </si>
  <si>
    <t>0.5–2pp above/below target</t>
  </si>
  <si>
    <t>&gt;2pp above target or deflationary</t>
  </si>
  <si>
    <t>CPI YOY Index</t>
  </si>
  <si>
    <t>ECCPEMUY Index</t>
  </si>
  <si>
    <t>SGCPIYOY Index</t>
  </si>
  <si>
    <t>CNCPIYOY Index</t>
  </si>
  <si>
    <t>INCPIYOY Index</t>
  </si>
  <si>
    <t>SLCPIYOY Index</t>
  </si>
  <si>
    <t>CB targets: US 2%, ECB 2%, MAS NEER, PBoC ~3%, RBI 4%, CBSL 5%</t>
  </si>
  <si>
    <t>CPI excluding food and energy, year-on-year % change</t>
  </si>
  <si>
    <t>Within 0.5pp of CB target</t>
  </si>
  <si>
    <t>0.5–2pp above target</t>
  </si>
  <si>
    <t>&gt;2pp above target or &lt;0%</t>
  </si>
  <si>
    <t>CPI XYOY Index</t>
  </si>
  <si>
    <t>ECCPEXFE Index</t>
  </si>
  <si>
    <t>SGCORPYY Index</t>
  </si>
  <si>
    <t>CNCPICOY Index</t>
  </si>
  <si>
    <t>INCPIXFE Index</t>
  </si>
  <si>
    <t>SLCPICOR Index</t>
  </si>
  <si>
    <t>Better proxy of demand-driven inflation; key for monetary policy</t>
  </si>
  <si>
    <t>Food component of CPI, YoY % change; especially relevant for Sri Lanka</t>
  </si>
  <si>
    <t>&lt;5% YoY</t>
  </si>
  <si>
    <t>5–10% YoY</t>
  </si>
  <si>
    <t>&gt;10% YoY</t>
  </si>
  <si>
    <t>CPI FOOD Index</t>
  </si>
  <si>
    <t>ECCPFMUY Index</t>
  </si>
  <si>
    <t>SGCPIFOD Index</t>
  </si>
  <si>
    <t>CNCPIFOD Index</t>
  </si>
  <si>
    <t>INCPIFOD Index</t>
  </si>
  <si>
    <t>SLCPIFOD Index</t>
  </si>
  <si>
    <t>High weight in EM/SL basket; use FAO Food Price Index for global cross-check</t>
  </si>
  <si>
    <t>Monetary Policy</t>
  </si>
  <si>
    <t>Central bank benchmark/overnight rate; key monetary policy lever</t>
  </si>
  <si>
    <t>As changed</t>
  </si>
  <si>
    <t>Rate on hold or cutting cycle</t>
  </si>
  <si>
    <t>Rate hiking pause; uncertain direction</t>
  </si>
  <si>
    <t>Active hiking cycle or emergency cut</t>
  </si>
  <si>
    <t>FEDL01 Index</t>
  </si>
  <si>
    <t>EURR002W Index</t>
  </si>
  <si>
    <t>SGPRIME Index</t>
  </si>
  <si>
    <t>CHIPON01 Index</t>
  </si>
  <si>
    <t>RIREPO Index</t>
  </si>
  <si>
    <t>CBSLPOLI Index</t>
  </si>
  <si>
    <t>Track direction of change (hiking/cutting/on hold) as much as level</t>
  </si>
  <si>
    <t>10Y Government Bond Yield (%)</t>
  </si>
  <si>
    <t>10-year sovereign bond yield; proxy for long-term financial conditions</t>
  </si>
  <si>
    <t>Daily/Weekly</t>
  </si>
  <si>
    <t>Stable or declining WoW</t>
  </si>
  <si>
    <t>Rising but &lt;20bps WoW</t>
  </si>
  <si>
    <t>&gt;20bps rise WoW or inversion</t>
  </si>
  <si>
    <t>USGG10YR Index</t>
  </si>
  <si>
    <t>GDBR10 Index</t>
  </si>
  <si>
    <t>MASB10YR Index</t>
  </si>
  <si>
    <t>GCNY10YR Index</t>
  </si>
  <si>
    <t>GIND10YR Index</t>
  </si>
  <si>
    <t>GSLT10YR Index</t>
  </si>
  <si>
    <t>For SL: use secondary market T-bond yield (CBSL data)</t>
  </si>
  <si>
    <t>Yield Curve Slope (10Y − 2Y, bps)</t>
  </si>
  <si>
    <t>Difference between 10Y and 2Y sovereign yield; recession predictor when negative</t>
  </si>
  <si>
    <t>&gt;50bps (normal/steep)</t>
  </si>
  <si>
    <t>0–50bps (flat)</t>
  </si>
  <si>
    <t>&lt;0bps (inverted — recession risk)</t>
  </si>
  <si>
    <t>USYC2Y10 Index</t>
  </si>
  <si>
    <t>GECU2Y10 Index</t>
  </si>
  <si>
    <t>MASC2Y10 Index</t>
  </si>
  <si>
    <t>GCNY2Y10 Index</t>
  </si>
  <si>
    <t>GIND2Y10 Index</t>
  </si>
  <si>
    <t>GSLT2Y10 Index</t>
  </si>
  <si>
    <t>Key early-warning indicator; inversion precedes recessions by ~12–18 months</t>
  </si>
  <si>
    <t>Labour Market</t>
  </si>
  <si>
    <t>Headline unemployment rate (ILO definition where available)</t>
  </si>
  <si>
    <t>Falling or near structural low</t>
  </si>
  <si>
    <t>Rising but &lt;1pp above cycle low</t>
  </si>
  <si>
    <t>Rising rapidly or &gt;1pp above cycle low</t>
  </si>
  <si>
    <t>USURTOT Index</t>
  </si>
  <si>
    <t>UMRTEMU Index</t>
  </si>
  <si>
    <t>SGUETOTP Index</t>
  </si>
  <si>
    <t>CNUERATE Index</t>
  </si>
  <si>
    <t>INUETOTP Index</t>
  </si>
  <si>
    <t>SLUETOTP Index</t>
  </si>
  <si>
    <t>China reports urban survey rate; SL uses CBSL labour force survey</t>
  </si>
  <si>
    <t>Average hourly/weekly earnings or wage index, YoY % change</t>
  </si>
  <si>
    <t>2–4% (real positive growth)</t>
  </si>
  <si>
    <t>&gt;4% (above inflation; risk of wage-price spiral)</t>
  </si>
  <si>
    <t>&lt;2% or negative real wages</t>
  </si>
  <si>
    <t>AHE YOY Index</t>
  </si>
  <si>
    <t>EUROSDEM Index</t>
  </si>
  <si>
    <t>SGWGIDX Index</t>
  </si>
  <si>
    <t>N/A (use Natl data)</t>
  </si>
  <si>
    <t>INWAGEYR Index</t>
  </si>
  <si>
    <t>SLWAGEYR Index</t>
  </si>
  <si>
    <t>Watch real wage growth (wage minus CPI) as consumer spending proxy</t>
  </si>
  <si>
    <t>Financial Markets</t>
  </si>
  <si>
    <t>Equity Index (WoW % change)</t>
  </si>
  <si>
    <t>Benchmark equity index, week-on-week % price change</t>
  </si>
  <si>
    <t>&gt;+1% WoW or positive YTD trend</t>
  </si>
  <si>
    <t>-1% to +1% WoW</t>
  </si>
  <si>
    <t>&lt;-1% WoW or down &gt;10% YTD</t>
  </si>
  <si>
    <t>SPX Index (S&amp;P 500)</t>
  </si>
  <si>
    <t>SX5E Index (EuroStoxx 50)</t>
  </si>
  <si>
    <t>STI Index (Straits Times)</t>
  </si>
  <si>
    <t>SHCOMP Index (Shanghai)</t>
  </si>
  <si>
    <t>SENSEX Index (BSE)</t>
  </si>
  <si>
    <t>CSEALL Index (Colombo)</t>
  </si>
  <si>
    <t>Track both WoW change and YTD level vs 52W high</t>
  </si>
  <si>
    <t>FX vs USD (WoW % change)</t>
  </si>
  <si>
    <t>Local currency per USD; WoW % change (positive = appreciation)</t>
  </si>
  <si>
    <t>Stable or appreciating (SL: LKR strengthening)</t>
  </si>
  <si>
    <t>-1% to 0% WoW depreciation</t>
  </si>
  <si>
    <t>&gt;1% depreciation WoW or rapid slide</t>
  </si>
  <si>
    <t>DXY Index (USD basket)</t>
  </si>
  <si>
    <t>EURUSD Curncy</t>
  </si>
  <si>
    <t>USDSGD Curncy</t>
  </si>
  <si>
    <t>USDCNY Curncy</t>
  </si>
  <si>
    <t>USDINR Curncy</t>
  </si>
  <si>
    <t>USDLKR Curncy</t>
  </si>
  <si>
    <t>For US, use DXY index (USD strength vs basket). SL: LKR critical for inflation &amp; debt</t>
  </si>
  <si>
    <t>Credit Spreads / Risk Sentiment</t>
  </si>
  <si>
    <t>EM sovereign spreads (EMBI) or 5Y CDS spread as risk-off proxy</t>
  </si>
  <si>
    <t>Tightening or &lt;300bps (EM EMBI)</t>
  </si>
  <si>
    <t>300–600bps or widening moderately</t>
  </si>
  <si>
    <t>&gt;600bps or widening rapidly</t>
  </si>
  <si>
    <t>JBCDCOMG Index (EMBI Global)</t>
  </si>
  <si>
    <t>JBCDCOMG Index</t>
  </si>
  <si>
    <t>ISDAS002 Curncy (5Y CDS SGD)</t>
  </si>
  <si>
    <t>CCHIN5Y1 CDS</t>
  </si>
  <si>
    <t>CISOV5Y1 CDS</t>
  </si>
  <si>
    <t>CSLNK5Y1 CDS</t>
  </si>
  <si>
    <t>SL 5Y CDS spread is key for IMF programme &amp; market access monitoring</t>
  </si>
  <si>
    <t>External Sector</t>
  </si>
  <si>
    <t>Exports minus imports (merchandise); monthly figure in USD bn</t>
  </si>
  <si>
    <t>Surplus or improving deficit trend</t>
  </si>
  <si>
    <t>Deficit stable / modest widening</t>
  </si>
  <si>
    <t>Rapidly widening deficit</t>
  </si>
  <si>
    <t>USTBTOT Index</t>
  </si>
  <si>
    <t>EUTRTOTL Index</t>
  </si>
  <si>
    <t>SGNXTRAD Index</t>
  </si>
  <si>
    <t>CNTBDLUS Index</t>
  </si>
  <si>
    <t>INTBDOLR Index</t>
  </si>
  <si>
    <t>SLTBDOLR Index</t>
  </si>
  <si>
    <t>For SL: also track export earnings &amp; worker remittances separately</t>
  </si>
  <si>
    <t>Official foreign exchange reserves; months of import cover where available</t>
  </si>
  <si>
    <t>&gt;3 months import cover; rising trend</t>
  </si>
  <si>
    <t>2–3 months import cover; stable</t>
  </si>
  <si>
    <t>&lt;2 months import cover or declining rapidly</t>
  </si>
  <si>
    <t>USINRESU Index</t>
  </si>
  <si>
    <t>EUFORESD Index</t>
  </si>
  <si>
    <t>SGFORESD Index</t>
  </si>
  <si>
    <t>CNFORESD Index</t>
  </si>
  <si>
    <t>INFORESD Index</t>
  </si>
  <si>
    <t>SLFORESD Index</t>
  </si>
  <si>
    <t>Critical for SL given 2022 crisis; watch months-of-import-cover metric</t>
  </si>
  <si>
    <t>Remittances (USD mn)</t>
  </si>
  <si>
    <t>Worker remittances inflows; critical for Sri Lanka's external balance</t>
  </si>
  <si>
    <t>Rising YoY or above $500mn/month (SL)</t>
  </si>
  <si>
    <t>Flat YoY</t>
  </si>
  <si>
    <t>Declining YoY or sharp drop</t>
  </si>
  <si>
    <t>N/A</t>
  </si>
  <si>
    <t>SLREMITU Index</t>
  </si>
  <si>
    <t>SL-specific; not tracked for DM/China. Source: CBSL monthly bulletin</t>
  </si>
  <si>
    <t>Commodities</t>
  </si>
  <si>
    <t>Front-month Brent crude futures; key for SL energy import costs &amp; global inflation</t>
  </si>
  <si>
    <t>&lt;$80/bbl or declining WoW</t>
  </si>
  <si>
    <t>$80–$100/bbl</t>
  </si>
  <si>
    <t>&gt;$100/bbl or spiking</t>
  </si>
  <si>
    <t>CO1 Comdty</t>
  </si>
  <si>
    <t>Global indicator; same value all countries. SL imports ~100% of oil needs</t>
  </si>
  <si>
    <t>RAG THRESHOLD LOGIC</t>
  </si>
  <si>
    <t>Green (Positive)</t>
  </si>
  <si>
    <t>Amber (Caution)</t>
  </si>
  <si>
    <t>Red (Negative)</t>
  </si>
  <si>
    <t>Rationale</t>
  </si>
  <si>
    <t>GDP Growth</t>
  </si>
  <si>
    <t>&gt;=2.5% DM / &gt;=5% EM</t>
  </si>
  <si>
    <t>1-2.5% DM / 3-5% EM</t>
  </si>
  <si>
    <t>&lt;1% DM or &lt;3% EM; negative</t>
  </si>
  <si>
    <t>IMF defines stagnation below 1% for DM</t>
  </si>
  <si>
    <t>PMI (Mfg / Services)</t>
  </si>
  <si>
    <t>&gt;=52 (expanding)</t>
  </si>
  <si>
    <t>50-52 (neutral)</t>
  </si>
  <si>
    <t>50 = expansion/contraction threshold</t>
  </si>
  <si>
    <t>CPI / Core CPI</t>
  </si>
  <si>
    <t>&lt;=4% YoY</t>
  </si>
  <si>
    <t>4-8% YoY</t>
  </si>
  <si>
    <t>&gt;8% YoY</t>
  </si>
  <si>
    <t>CB targets: Fed/ECB 2%, RBI 4%, CBSL 5%</t>
  </si>
  <si>
    <t>Food Inflation</t>
  </si>
  <si>
    <t>&lt;=5%</t>
  </si>
  <si>
    <t>5-10%</t>
  </si>
  <si>
    <t>&gt;10%</t>
  </si>
  <si>
    <t>Critical for EM social stability; high weight in SL CPI basket</t>
  </si>
  <si>
    <t>10Y Bond Yield</t>
  </si>
  <si>
    <t>5-7%</t>
  </si>
  <si>
    <t>&gt;7%</t>
  </si>
  <si>
    <t>SL T-bond yields at 10Y+ are key IMF programme monitor</t>
  </si>
  <si>
    <t>Yield Curve (10Y-2Y)</t>
  </si>
  <si>
    <t>&gt;=50 bps (steep)</t>
  </si>
  <si>
    <t>0-50 bps (flat)</t>
  </si>
  <si>
    <t>&lt;0 bps (inverted)</t>
  </si>
  <si>
    <t>Inverted curve is a leading recession indicator (~12-18M lead)</t>
  </si>
  <si>
    <t>Unemployment Rate</t>
  </si>
  <si>
    <t>Track direction more than level; varies by structural unemployment</t>
  </si>
  <si>
    <t>Equity / FX (WoW %)</t>
  </si>
  <si>
    <t>Equity &gt;=1% / FX &gt;=0%</t>
  </si>
  <si>
    <t>-1% to +1%</t>
  </si>
  <si>
    <t>Equity &lt;-1% / FX &lt;-1%</t>
  </si>
  <si>
    <t>FX: positive = local currency appreciation vs USD</t>
  </si>
  <si>
    <t>Credit Spreads / CDS</t>
  </si>
  <si>
    <t>&lt;=300 bps</t>
  </si>
  <si>
    <t>300-600 bps</t>
  </si>
  <si>
    <t>&gt;600 bps</t>
  </si>
  <si>
    <t>SL CDS spread monitored for IMF programme continuity</t>
  </si>
  <si>
    <t>&lt;=80</t>
  </si>
  <si>
    <t>80-100</t>
  </si>
  <si>
    <t>&gt;100</t>
  </si>
  <si>
    <t>SL imports 100% of oil; high oil = fiscal and inflation risk</t>
  </si>
  <si>
    <t>DATA SOURCES FOR MANUAL ENTRY</t>
  </si>
  <si>
    <t>Sri Lanka (GDP, CPI, Trade, Reserves, Remittances):</t>
  </si>
  <si>
    <t>Central Bank of Sri Lanka (CBSL): cbsl.gov.lk/statistics</t>
  </si>
  <si>
    <t>Singapore Wages:</t>
  </si>
  <si>
    <t>Ministry of Manpower (MOM): mom.gov.sg/statistics</t>
  </si>
  <si>
    <t>China Wages:</t>
  </si>
  <si>
    <t>National Bureau of Statistics (NBS): stats.gov.cn</t>
  </si>
  <si>
    <t>Global PMI (all 6 countries):</t>
  </si>
  <si>
    <t>S&amp;P Global PMI releases: published 1st business day of each month</t>
  </si>
  <si>
    <t>VERSION HISTORY</t>
  </si>
  <si>
    <t>v1.0</t>
  </si>
  <si>
    <t>Initial build: 6 countries, 19 indicators, 6 categories, Bloomberg BDP formulas, RAG conditional formatting.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</si>
</sst>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dd/mmm/yyyy"/>
    <numFmt numFmtId="166" formatCode="0.0&quot;%&quot;"/>
    <numFmt numFmtId="167" formatCode="0.00&quot;%&quot;"/>
  </numFmts>
  <fonts count="25">
    <font>
      <sz val="12"/>
      <color theme="1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i/>
      <sz val="10"/>
      <color rgb="FF595959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sz val="9"/>
      <color rgb="FF0070C0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9"/>
      <color rgb="FF00800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2"/>
      <color rgb="FFFFFF00"/>
      <name val="Aptos Narrow"/>
      <family val="2"/>
      <scheme val="minor"/>
    </font>
    <font>
      <sz val="9"/>
      <color rgb="FFD9D9D9"/>
      <name val="Aptos Narrow"/>
      <family val="2"/>
      <scheme val="minor"/>
    </font>
    <font>
      <b/>
      <sz val="8"/>
      <color rgb="FFFFFFFF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9"/>
      <color rgb="FFBFBFBF"/>
      <name val="Aptos Narrow"/>
      <family val="2"/>
      <scheme val="minor"/>
    </font>
    <font>
      <sz val="9"/>
      <color rgb="FF276221"/>
      <name val="Aptos Narrow"/>
      <family val="2"/>
      <scheme val="minor"/>
    </font>
    <font>
      <sz val="9"/>
      <color rgb="FF9C6500"/>
      <name val="Aptos Narrow"/>
      <family val="2"/>
      <scheme val="minor"/>
    </font>
    <font>
      <sz val="9"/>
      <color rgb="FF9C0006"/>
      <name val="Aptos Narrow"/>
      <family val="2"/>
      <scheme val="minor"/>
    </font>
    <font>
      <i/>
      <sz val="9"/>
      <color rgb="FF595959"/>
      <name val="Aptos Narrow"/>
      <family val="2"/>
      <scheme val="minor"/>
    </font>
    <font>
      <b/>
      <sz val="11"/>
      <color rgb="FF1F3864"/>
      <name val="Aptos Narrow"/>
      <family val="2"/>
      <scheme val="minor"/>
    </font>
    <font>
      <i/>
      <sz val="9"/>
      <color theme="1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DD9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7CBAC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41719C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A0404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276221"/>
        <bgColor indexed="64"/>
      </patternFill>
    </fill>
    <fill>
      <patternFill patternType="solid">
        <fgColor rgb="FF9C6500"/>
        <bgColor indexed="64"/>
      </patternFill>
    </fill>
    <fill>
      <patternFill patternType="solid">
        <fgColor rgb="FF9C000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4" fillId="5" borderId="0" xfId="0" applyFont="1" applyFill="1"/>
    <xf numFmtId="0" fontId="4" fillId="5" borderId="0" xfId="0" applyFont="1" applyFill="1" applyAlignment="1">
      <alignment horizontal="center"/>
    </xf>
    <xf numFmtId="0" fontId="4" fillId="6" borderId="0" xfId="0" applyFont="1" applyFill="1"/>
    <xf numFmtId="0" fontId="4" fillId="6" borderId="0" xfId="0" applyFont="1" applyFill="1" applyAlignment="1">
      <alignment horizontal="center"/>
    </xf>
    <xf numFmtId="0" fontId="4" fillId="7" borderId="0" xfId="0" applyFont="1" applyFill="1"/>
    <xf numFmtId="0" fontId="4" fillId="7" borderId="0" xfId="0" applyFont="1" applyFill="1" applyAlignment="1">
      <alignment horizontal="center"/>
    </xf>
    <xf numFmtId="0" fontId="4" fillId="8" borderId="0" xfId="0" applyFont="1" applyFill="1"/>
    <xf numFmtId="0" fontId="4" fillId="8" borderId="0" xfId="0" applyFont="1" applyFill="1" applyAlignment="1">
      <alignment horizontal="center"/>
    </xf>
    <xf numFmtId="0" fontId="4" fillId="9" borderId="0" xfId="0" applyFont="1" applyFill="1"/>
    <xf numFmtId="0" fontId="4" fillId="9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4" fillId="0" borderId="0" xfId="0" applyFont="1" applyAlignment="1">
      <alignment horizontal="center" wrapText="1"/>
    </xf>
    <xf numFmtId="0" fontId="4" fillId="3" borderId="0" xfId="0" applyFont="1" applyFill="1" applyAlignment="1">
      <alignment wrapText="1"/>
    </xf>
    <xf numFmtId="0" fontId="4" fillId="3" borderId="0" xfId="0" applyFont="1" applyFill="1" applyAlignment="1">
      <alignment horizontal="center" wrapText="1"/>
    </xf>
    <xf numFmtId="0" fontId="4" fillId="4" borderId="0" xfId="0" applyFont="1" applyFill="1" applyAlignment="1">
      <alignment wrapText="1"/>
    </xf>
    <xf numFmtId="0" fontId="4" fillId="4" borderId="0" xfId="0" applyFont="1" applyFill="1" applyAlignment="1">
      <alignment horizontal="center" wrapText="1"/>
    </xf>
    <xf numFmtId="0" fontId="4" fillId="5" borderId="0" xfId="0" applyFont="1" applyFill="1" applyAlignment="1">
      <alignment wrapText="1"/>
    </xf>
    <xf numFmtId="0" fontId="4" fillId="5" borderId="0" xfId="0" applyFont="1" applyFill="1" applyAlignment="1">
      <alignment horizontal="center" wrapText="1"/>
    </xf>
    <xf numFmtId="0" fontId="4" fillId="6" borderId="0" xfId="0" applyFont="1" applyFill="1" applyAlignment="1">
      <alignment wrapText="1"/>
    </xf>
    <xf numFmtId="0" fontId="4" fillId="6" borderId="0" xfId="0" applyFont="1" applyFill="1" applyAlignment="1">
      <alignment horizontal="center" wrapText="1"/>
    </xf>
    <xf numFmtId="0" fontId="4" fillId="7" borderId="0" xfId="0" applyFont="1" applyFill="1" applyAlignment="1">
      <alignment wrapText="1"/>
    </xf>
    <xf numFmtId="0" fontId="4" fillId="7" borderId="0" xfId="0" applyFont="1" applyFill="1" applyAlignment="1">
      <alignment horizontal="center" wrapText="1"/>
    </xf>
    <xf numFmtId="0" fontId="4" fillId="8" borderId="0" xfId="0" applyFont="1" applyFill="1" applyAlignment="1">
      <alignment wrapText="1"/>
    </xf>
    <xf numFmtId="0" fontId="4" fillId="8" borderId="0" xfId="0" applyFont="1" applyFill="1" applyAlignment="1">
      <alignment horizontal="center" wrapText="1"/>
    </xf>
    <xf numFmtId="0" fontId="4" fillId="9" borderId="0" xfId="0" applyFont="1" applyFill="1" applyAlignment="1">
      <alignment wrapText="1"/>
    </xf>
    <xf numFmtId="0" fontId="4" fillId="9" borderId="0" xfId="0" applyFont="1" applyFill="1" applyAlignment="1">
      <alignment horizontal="center" wrapText="1"/>
    </xf>
    <xf numFmtId="0" fontId="5" fillId="10" borderId="0" xfId="0" applyFont="1" applyFill="1"/>
    <xf numFmtId="0" fontId="5" fillId="10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11" borderId="0" xfId="0" applyFont="1" applyFill="1" applyAlignment="1">
      <alignment horizontal="center"/>
    </xf>
    <xf numFmtId="0" fontId="10" fillId="0" borderId="0" xfId="0" applyFont="1"/>
    <xf numFmtId="0" fontId="3" fillId="2" borderId="0" xfId="0" applyFont="1" applyFill="1" applyAlignment="1">
      <alignment horizontal="right"/>
    </xf>
    <xf numFmtId="165" fontId="13" fillId="2" borderId="0" xfId="0" applyNumberFormat="1" applyFont="1" applyFill="1"/>
    <xf numFmtId="0" fontId="14" fillId="2" borderId="0" xfId="0" applyFont="1" applyFill="1"/>
    <xf numFmtId="0" fontId="14" fillId="2" borderId="0" xfId="0" applyFont="1" applyFill="1" applyAlignment="1">
      <alignment horizontal="right"/>
    </xf>
    <xf numFmtId="0" fontId="15" fillId="11" borderId="0" xfId="0" applyFont="1" applyFill="1" applyAlignment="1">
      <alignment horizontal="center"/>
    </xf>
    <xf numFmtId="0" fontId="5" fillId="12" borderId="0" xfId="0" applyFont="1" applyFill="1" applyAlignment="1">
      <alignment horizontal="center"/>
    </xf>
    <xf numFmtId="0" fontId="15" fillId="13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6" fillId="3" borderId="0" xfId="0" applyFont="1" applyFill="1" applyAlignment="1">
      <alignment horizontal="center"/>
    </xf>
    <xf numFmtId="166" fontId="4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17" fillId="4" borderId="0" xfId="0" applyFont="1" applyFill="1" applyAlignment="1">
      <alignment horizontal="center"/>
    </xf>
    <xf numFmtId="0" fontId="16" fillId="4" borderId="0" xfId="0" applyFont="1" applyFill="1" applyAlignment="1">
      <alignment horizontal="center"/>
    </xf>
    <xf numFmtId="0" fontId="17" fillId="5" borderId="0" xfId="0" applyFont="1" applyFill="1" applyAlignment="1">
      <alignment horizontal="center"/>
    </xf>
    <xf numFmtId="0" fontId="16" fillId="5" borderId="0" xfId="0" applyFont="1" applyFill="1" applyAlignment="1">
      <alignment horizontal="center"/>
    </xf>
    <xf numFmtId="167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17" fillId="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17" fillId="7" borderId="0" xfId="0" applyFont="1" applyFill="1" applyAlignment="1">
      <alignment horizontal="center"/>
    </xf>
    <xf numFmtId="0" fontId="16" fillId="7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16" fillId="8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17" fillId="9" borderId="0" xfId="0" applyFont="1" applyFill="1" applyAlignment="1">
      <alignment horizontal="center"/>
    </xf>
    <xf numFmtId="0" fontId="16" fillId="9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19" fillId="14" borderId="0" xfId="0" applyFont="1" applyFill="1"/>
    <xf numFmtId="0" fontId="20" fillId="15" borderId="0" xfId="0" applyFont="1" applyFill="1" applyAlignment="1">
      <alignment horizontal="center"/>
    </xf>
    <xf numFmtId="0" fontId="21" fillId="16" borderId="0" xfId="0" applyFont="1" applyFill="1"/>
    <xf numFmtId="0" fontId="22" fillId="0" borderId="0" xfId="0" applyFont="1"/>
    <xf numFmtId="0" fontId="10" fillId="3" borderId="0" xfId="0" applyFont="1" applyFill="1"/>
    <xf numFmtId="0" fontId="10" fillId="4" borderId="0" xfId="0" applyFont="1" applyFill="1"/>
    <xf numFmtId="0" fontId="10" fillId="5" borderId="0" xfId="0" applyFont="1" applyFill="1"/>
    <xf numFmtId="0" fontId="10" fillId="6" borderId="0" xfId="0" applyFont="1" applyFill="1"/>
    <xf numFmtId="0" fontId="10" fillId="7" borderId="0" xfId="0" applyFont="1" applyFill="1"/>
    <xf numFmtId="0" fontId="10" fillId="8" borderId="0" xfId="0" applyFont="1" applyFill="1"/>
    <xf numFmtId="0" fontId="10" fillId="9" borderId="0" xfId="0" applyFont="1" applyFill="1"/>
    <xf numFmtId="0" fontId="23" fillId="0" borderId="0" xfId="0" applyFont="1"/>
    <xf numFmtId="0" fontId="5" fillId="17" borderId="0" xfId="0" applyFont="1" applyFill="1"/>
    <xf numFmtId="0" fontId="5" fillId="18" borderId="0" xfId="0" applyFont="1" applyFill="1"/>
    <xf numFmtId="0" fontId="5" fillId="19" borderId="0" xfId="0" applyFont="1" applyFill="1"/>
    <xf numFmtId="0" fontId="4" fillId="14" borderId="0" xfId="0" applyFont="1" applyFill="1"/>
    <xf numFmtId="0" fontId="4" fillId="15" borderId="0" xfId="0" applyFont="1" applyFill="1"/>
    <xf numFmtId="0" fontId="4" fillId="16" borderId="0" xfId="0" applyFont="1" applyFill="1"/>
    <xf numFmtId="17" fontId="4" fillId="0" borderId="0" xfId="0" applyNumberFormat="1" applyFont="1"/>
    <xf numFmtId="0" fontId="4" fillId="14" borderId="0" xfId="0" applyFont="1" applyFill="1" applyAlignment="1">
      <alignment wrapText="1"/>
    </xf>
    <xf numFmtId="0" fontId="24" fillId="0" borderId="0" xfId="0" applyFont="1" applyAlignment="1">
      <alignment wrapText="1"/>
    </xf>
    <xf numFmtId="164" fontId="6" fillId="0" borderId="0" xfId="0" applyNumberFormat="1" applyFont="1"/>
    <xf numFmtId="164" fontId="4" fillId="0" borderId="0" xfId="0" applyNumberFormat="1" applyFont="1"/>
    <xf numFmtId="2" fontId="6" fillId="0" borderId="0" xfId="0" applyNumberFormat="1" applyFont="1"/>
    <xf numFmtId="2" fontId="4" fillId="0" borderId="0" xfId="0" applyNumberFormat="1" applyFont="1"/>
    <xf numFmtId="1" fontId="6" fillId="0" borderId="0" xfId="0" applyNumberFormat="1" applyFont="1"/>
    <xf numFmtId="1" fontId="4" fillId="0" borderId="0" xfId="0" applyNumberFormat="1" applyFont="1"/>
    <xf numFmtId="164" fontId="6" fillId="0" borderId="1" xfId="0" applyNumberFormat="1" applyFont="1" applyBorder="1"/>
    <xf numFmtId="164" fontId="4" fillId="0" borderId="1" xfId="0" applyNumberFormat="1" applyFont="1" applyBorder="1"/>
    <xf numFmtId="164" fontId="9" fillId="0" borderId="1" xfId="0" applyNumberFormat="1" applyFont="1" applyBorder="1"/>
    <xf numFmtId="0" fontId="11" fillId="2" borderId="0" xfId="0" applyFont="1" applyFill="1" applyAlignment="1"/>
    <xf numFmtId="0" fontId="12" fillId="2" borderId="0" xfId="0" applyFont="1" applyFill="1" applyAlignment="1"/>
    <xf numFmtId="0" fontId="1" fillId="2" borderId="0" xfId="0" applyFont="1" applyFill="1" applyAlignment="1"/>
    <xf numFmtId="0" fontId="2" fillId="0" borderId="0" xfId="0" applyFont="1" applyAlignment="1"/>
  </cellXfs>
  <cellStyles count="1">
    <cellStyle name="Normal" xfId="0" builtinId="0"/>
  </cellStyles>
  <dxfs count="288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55D70B-6D1E-4840-8ED1-0C1663223DA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f359c0d-980e-4d60-b177-d1524a042c78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74632-AAC7-1744-9691-319A967BB956}">
  <sheetPr>
    <tabColor rgb="FF1F3864"/>
  </sheetPr>
  <dimension ref="A1:T33"/>
  <sheetViews>
    <sheetView zoomScale="150" workbookViewId="0">
      <pane ySplit="4" topLeftCell="A27" activePane="bottomLeft" state="frozen"/>
      <selection pane="bottomLeft" activeCell="D16" sqref="D16"/>
    </sheetView>
  </sheetViews>
  <sheetFormatPr defaultColWidth="11" defaultRowHeight="15.95"/>
  <cols>
    <col min="1" max="1" width="12" customWidth="1"/>
    <col min="2" max="2" width="29.125" customWidth="1"/>
    <col min="3" max="3" width="8.625" customWidth="1"/>
    <col min="4" max="4" width="11.375" customWidth="1"/>
    <col min="5" max="5" width="4.625" customWidth="1"/>
    <col min="6" max="6" width="11.375" customWidth="1"/>
    <col min="7" max="7" width="4.625" customWidth="1"/>
    <col min="8" max="8" width="11.375" customWidth="1"/>
    <col min="9" max="9" width="4.625" customWidth="1"/>
    <col min="10" max="10" width="11.375" customWidth="1"/>
    <col min="11" max="11" width="4.625" customWidth="1"/>
    <col min="12" max="12" width="11.375" customWidth="1"/>
    <col min="13" max="13" width="4.625" customWidth="1"/>
    <col min="14" max="14" width="11.375" customWidth="1"/>
    <col min="15" max="15" width="4.625" customWidth="1"/>
    <col min="16" max="17" width="13.375" customWidth="1"/>
  </cols>
  <sheetData>
    <row r="1" spans="1:20" ht="32.1" customHeight="1">
      <c r="A1" s="99" t="s">
        <v>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39" t="s">
        <v>1</v>
      </c>
      <c r="T1" s="40"/>
    </row>
    <row r="2" spans="1:20" ht="21.95" customHeight="1">
      <c r="A2" s="100" t="s">
        <v>2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42" t="s">
        <v>3</v>
      </c>
      <c r="T2" s="41" t="s">
        <v>4</v>
      </c>
    </row>
    <row r="4" spans="1:20" ht="27.95" customHeight="1">
      <c r="A4" s="35" t="s">
        <v>5</v>
      </c>
      <c r="B4" s="34" t="s">
        <v>6</v>
      </c>
      <c r="C4" s="35" t="s">
        <v>7</v>
      </c>
      <c r="D4" s="36" t="s">
        <v>8</v>
      </c>
      <c r="E4" s="43" t="s">
        <v>9</v>
      </c>
      <c r="F4" s="36" t="s">
        <v>10</v>
      </c>
      <c r="G4" s="43" t="s">
        <v>9</v>
      </c>
      <c r="H4" s="36" t="s">
        <v>11</v>
      </c>
      <c r="I4" s="43" t="s">
        <v>9</v>
      </c>
      <c r="J4" s="36" t="s">
        <v>12</v>
      </c>
      <c r="K4" s="43" t="s">
        <v>9</v>
      </c>
      <c r="L4" s="36" t="s">
        <v>13</v>
      </c>
      <c r="M4" s="43" t="s">
        <v>9</v>
      </c>
      <c r="N4" s="44" t="s">
        <v>14</v>
      </c>
      <c r="O4" s="45" t="s">
        <v>9</v>
      </c>
      <c r="P4" s="46" t="s">
        <v>15</v>
      </c>
      <c r="Q4" s="46" t="s">
        <v>16</v>
      </c>
    </row>
    <row r="5" spans="1:20" ht="21.95" customHeight="1">
      <c r="A5" s="47" t="s">
        <v>17</v>
      </c>
      <c r="B5" s="3" t="s">
        <v>18</v>
      </c>
      <c r="C5" s="48" t="s">
        <v>19</v>
      </c>
      <c r="D5" s="49" t="str">
        <f>IF(ISNUMBER(Data!D5),Data!D5,"n/a")</f>
        <v>n/a</v>
      </c>
      <c r="E5" s="2" t="str">
        <f>IF(AND(ISNUMBER(Data!D5),ISNUMBER(Data!E5)),IF(Data!D5&gt;Data!E5,"▲",IF(Data!D5&lt;Data!E5,"▼","↔")),"-")</f>
        <v>-</v>
      </c>
      <c r="F5" s="49" t="str">
        <f>IF(ISNUMBER(Data!F5),Data!F5,"n/a")</f>
        <v>n/a</v>
      </c>
      <c r="G5" s="2" t="str">
        <f>IF(AND(ISNUMBER(Data!F5),ISNUMBER(Data!G5)),IF(Data!F5&gt;Data!G5,"▲",IF(Data!F5&lt;Data!G5,"▼","↔")),"-")</f>
        <v>-</v>
      </c>
      <c r="H5" s="49" t="str">
        <f>IF(ISNUMBER(Data!H5),Data!H5,"n/a")</f>
        <v>n/a</v>
      </c>
      <c r="I5" s="2" t="str">
        <f>IF(AND(ISNUMBER(Data!H5),ISNUMBER(Data!I5)),IF(Data!H5&gt;Data!I5,"▲",IF(Data!H5&lt;Data!I5,"▼","↔")),"-")</f>
        <v>-</v>
      </c>
      <c r="J5" s="49" t="str">
        <f>IF(ISNUMBER(Data!J5),Data!J5,"n/a")</f>
        <v>n/a</v>
      </c>
      <c r="K5" s="2" t="str">
        <f>IF(AND(ISNUMBER(Data!J5),ISNUMBER(Data!K5)),IF(Data!J5&gt;Data!K5,"▲",IF(Data!J5&lt;Data!K5,"▼","↔")),"-")</f>
        <v>-</v>
      </c>
      <c r="L5" s="49" t="str">
        <f>IF(ISNUMBER(Data!L5),Data!L5,"n/a")</f>
        <v>n/a</v>
      </c>
      <c r="M5" s="2" t="str">
        <f>IF(AND(ISNUMBER(Data!L5),ISNUMBER(Data!M5)),IF(Data!L5&gt;Data!M5,"▲",IF(Data!L5&lt;Data!M5,"▼","↔")),"-")</f>
        <v>-</v>
      </c>
      <c r="N5" s="49" t="str">
        <f>IF(ISNUMBER(Data!N5),Data!N5,"n/a")</f>
        <v>n/a</v>
      </c>
      <c r="O5" s="2" t="str">
        <f>IF(AND(ISNUMBER(Data!N5),ISNUMBER(Data!O5)),IF(Data!N5&gt;Data!O5,"▲",IF(Data!N5&lt;Data!O5,"▼","↔")),"-")</f>
        <v>-</v>
      </c>
      <c r="P5" s="50" t="str">
        <f>Data!P5</f>
        <v>Quarterly</v>
      </c>
    </row>
    <row r="6" spans="1:20" ht="21.95" customHeight="1">
      <c r="A6" s="47" t="s">
        <v>17</v>
      </c>
      <c r="B6" s="3" t="s">
        <v>20</v>
      </c>
      <c r="C6" s="48" t="s">
        <v>21</v>
      </c>
      <c r="D6" s="51" t="str">
        <f>IF(ISNUMBER(Data!D6),Data!D6,"n/a")</f>
        <v>n/a</v>
      </c>
      <c r="E6" s="2" t="str">
        <f>IF(AND(ISNUMBER(Data!D6),ISNUMBER(Data!E6)),IF(Data!D6&gt;Data!E6,"▲",IF(Data!D6&lt;Data!E6,"▼","↔")),"-")</f>
        <v>-</v>
      </c>
      <c r="F6" s="51" t="str">
        <f>IF(ISNUMBER(Data!F6),Data!F6,"n/a")</f>
        <v>n/a</v>
      </c>
      <c r="G6" s="2" t="str">
        <f>IF(AND(ISNUMBER(Data!F6),ISNUMBER(Data!G6)),IF(Data!F6&gt;Data!G6,"▲",IF(Data!F6&lt;Data!G6,"▼","↔")),"-")</f>
        <v>-</v>
      </c>
      <c r="H6" s="51" t="str">
        <f>IF(ISNUMBER(Data!H6),Data!H6,"n/a")</f>
        <v>n/a</v>
      </c>
      <c r="I6" s="2" t="str">
        <f>IF(AND(ISNUMBER(Data!H6),ISNUMBER(Data!I6)),IF(Data!H6&gt;Data!I6,"▲",IF(Data!H6&lt;Data!I6,"▼","↔")),"-")</f>
        <v>-</v>
      </c>
      <c r="J6" s="51" t="str">
        <f>IF(ISNUMBER(Data!J6),Data!J6,"n/a")</f>
        <v>n/a</v>
      </c>
      <c r="K6" s="2" t="str">
        <f>IF(AND(ISNUMBER(Data!J6),ISNUMBER(Data!K6)),IF(Data!J6&gt;Data!K6,"▲",IF(Data!J6&lt;Data!K6,"▼","↔")),"-")</f>
        <v>-</v>
      </c>
      <c r="L6" s="51" t="str">
        <f>IF(ISNUMBER(Data!L6),Data!L6,"n/a")</f>
        <v>n/a</v>
      </c>
      <c r="M6" s="2" t="str">
        <f>IF(AND(ISNUMBER(Data!L6),ISNUMBER(Data!M6)),IF(Data!L6&gt;Data!M6,"▲",IF(Data!L6&lt;Data!M6,"▼","↔")),"-")</f>
        <v>-</v>
      </c>
      <c r="N6" s="51" t="str">
        <f>IF(ISNUMBER(Data!N6),Data!N6,"n/a")</f>
        <v>n/a</v>
      </c>
      <c r="O6" s="2" t="str">
        <f>IF(AND(ISNUMBER(Data!N6),ISNUMBER(Data!O6)),IF(Data!N6&gt;Data!O6,"▲",IF(Data!N6&lt;Data!O6,"▼","↔")),"-")</f>
        <v>-</v>
      </c>
      <c r="P6" s="50" t="str">
        <f>Data!P6</f>
        <v>Monthly (1st week)</v>
      </c>
    </row>
    <row r="7" spans="1:20" ht="21.95" customHeight="1">
      <c r="A7" s="47" t="s">
        <v>17</v>
      </c>
      <c r="B7" s="3" t="s">
        <v>22</v>
      </c>
      <c r="C7" s="48" t="s">
        <v>21</v>
      </c>
      <c r="D7" s="51" t="str">
        <f>IF(ISNUMBER(Data!D7),Data!D7,"n/a")</f>
        <v>n/a</v>
      </c>
      <c r="E7" s="2" t="str">
        <f>IF(AND(ISNUMBER(Data!D7),ISNUMBER(Data!E7)),IF(Data!D7&gt;Data!E7,"▲",IF(Data!D7&lt;Data!E7,"▼","↔")),"-")</f>
        <v>-</v>
      </c>
      <c r="F7" s="51" t="str">
        <f>IF(ISNUMBER(Data!F7),Data!F7,"n/a")</f>
        <v>n/a</v>
      </c>
      <c r="G7" s="2" t="str">
        <f>IF(AND(ISNUMBER(Data!F7),ISNUMBER(Data!G7)),IF(Data!F7&gt;Data!G7,"▲",IF(Data!F7&lt;Data!G7,"▼","↔")),"-")</f>
        <v>-</v>
      </c>
      <c r="H7" s="51" t="str">
        <f>IF(ISNUMBER(Data!H7),Data!H7,"n/a")</f>
        <v>n/a</v>
      </c>
      <c r="I7" s="2" t="str">
        <f>IF(AND(ISNUMBER(Data!H7),ISNUMBER(Data!I7)),IF(Data!H7&gt;Data!I7,"▲",IF(Data!H7&lt;Data!I7,"▼","↔")),"-")</f>
        <v>-</v>
      </c>
      <c r="J7" s="51" t="str">
        <f>IF(ISNUMBER(Data!J7),Data!J7,"n/a")</f>
        <v>n/a</v>
      </c>
      <c r="K7" s="2" t="str">
        <f>IF(AND(ISNUMBER(Data!J7),ISNUMBER(Data!K7)),IF(Data!J7&gt;Data!K7,"▲",IF(Data!J7&lt;Data!K7,"▼","↔")),"-")</f>
        <v>-</v>
      </c>
      <c r="L7" s="51" t="str">
        <f>IF(ISNUMBER(Data!L7),Data!L7,"n/a")</f>
        <v>n/a</v>
      </c>
      <c r="M7" s="2" t="str">
        <f>IF(AND(ISNUMBER(Data!L7),ISNUMBER(Data!M7)),IF(Data!L7&gt;Data!M7,"▲",IF(Data!L7&lt;Data!M7,"▼","↔")),"-")</f>
        <v>-</v>
      </c>
      <c r="N7" s="51" t="str">
        <f>IF(ISNUMBER(Data!N7),Data!N7,"n/a")</f>
        <v>n/a</v>
      </c>
      <c r="O7" s="2" t="str">
        <f>IF(AND(ISNUMBER(Data!N7),ISNUMBER(Data!O7)),IF(Data!N7&gt;Data!O7,"▲",IF(Data!N7&lt;Data!O7,"▼","↔")),"-")</f>
        <v>-</v>
      </c>
      <c r="P7" s="50" t="str">
        <f>Data!P7</f>
        <v>Monthly (1st week)</v>
      </c>
    </row>
    <row r="8" spans="1:20" ht="21.95" customHeight="1">
      <c r="A8" s="47" t="s">
        <v>17</v>
      </c>
      <c r="B8" s="3" t="s">
        <v>23</v>
      </c>
      <c r="C8" s="48" t="s">
        <v>19</v>
      </c>
      <c r="D8" s="49" t="str">
        <f>IF(ISNUMBER(Data!D8),Data!D8,"n/a")</f>
        <v>n/a</v>
      </c>
      <c r="E8" s="2" t="str">
        <f>IF(AND(ISNUMBER(Data!D8),ISNUMBER(Data!E8)),IF(Data!D8&gt;Data!E8,"▲",IF(Data!D8&lt;Data!E8,"▼","↔")),"-")</f>
        <v>-</v>
      </c>
      <c r="F8" s="49" t="str">
        <f>IF(ISNUMBER(Data!F8),Data!F8,"n/a")</f>
        <v>n/a</v>
      </c>
      <c r="G8" s="2" t="str">
        <f>IF(AND(ISNUMBER(Data!F8),ISNUMBER(Data!G8)),IF(Data!F8&gt;Data!G8,"▲",IF(Data!F8&lt;Data!G8,"▼","↔")),"-")</f>
        <v>-</v>
      </c>
      <c r="H8" s="49" t="str">
        <f>IF(ISNUMBER(Data!H8),Data!H8,"n/a")</f>
        <v>n/a</v>
      </c>
      <c r="I8" s="2" t="str">
        <f>IF(AND(ISNUMBER(Data!H8),ISNUMBER(Data!I8)),IF(Data!H8&gt;Data!I8,"▲",IF(Data!H8&lt;Data!I8,"▼","↔")),"-")</f>
        <v>-</v>
      </c>
      <c r="J8" s="49" t="str">
        <f>IF(ISNUMBER(Data!J8),Data!J8,"n/a")</f>
        <v>n/a</v>
      </c>
      <c r="K8" s="2" t="str">
        <f>IF(AND(ISNUMBER(Data!J8),ISNUMBER(Data!K8)),IF(Data!J8&gt;Data!K8,"▲",IF(Data!J8&lt;Data!K8,"▼","↔")),"-")</f>
        <v>-</v>
      </c>
      <c r="L8" s="49" t="str">
        <f>IF(ISNUMBER(Data!L8),Data!L8,"n/a")</f>
        <v>n/a</v>
      </c>
      <c r="M8" s="2" t="str">
        <f>IF(AND(ISNUMBER(Data!L8),ISNUMBER(Data!M8)),IF(Data!L8&gt;Data!M8,"▲",IF(Data!L8&lt;Data!M8,"▼","↔")),"-")</f>
        <v>-</v>
      </c>
      <c r="N8" s="49" t="str">
        <f>IF(ISNUMBER(Data!N8),Data!N8,"n/a")</f>
        <v>n/a</v>
      </c>
      <c r="O8" s="2" t="str">
        <f>IF(AND(ISNUMBER(Data!N8),ISNUMBER(Data!O8)),IF(Data!N8&gt;Data!O8,"▲",IF(Data!N8&lt;Data!O8,"▼","↔")),"-")</f>
        <v>-</v>
      </c>
      <c r="P8" s="50" t="str">
        <f>Data!P8</f>
        <v>Monthly</v>
      </c>
    </row>
    <row r="9" spans="1:20" ht="21.95" customHeight="1">
      <c r="A9" s="52" t="s">
        <v>24</v>
      </c>
      <c r="B9" s="5" t="s">
        <v>25</v>
      </c>
      <c r="C9" s="53" t="s">
        <v>19</v>
      </c>
      <c r="D9" s="49" t="str">
        <f>IF(ISNUMBER(Data!D9),Data!D9,"n/a")</f>
        <v>n/a</v>
      </c>
      <c r="E9" s="2" t="str">
        <f>IF(AND(ISNUMBER(Data!D9),ISNUMBER(Data!E9)),IF(Data!D9&gt;Data!E9,"▲",IF(Data!D9&lt;Data!E9,"▼","↔")),"-")</f>
        <v>-</v>
      </c>
      <c r="F9" s="49" t="str">
        <f>IF(ISNUMBER(Data!F9),Data!F9,"n/a")</f>
        <v>n/a</v>
      </c>
      <c r="G9" s="2" t="str">
        <f>IF(AND(ISNUMBER(Data!F9),ISNUMBER(Data!G9)),IF(Data!F9&gt;Data!G9,"▲",IF(Data!F9&lt;Data!G9,"▼","↔")),"-")</f>
        <v>-</v>
      </c>
      <c r="H9" s="49" t="str">
        <f>IF(ISNUMBER(Data!H9),Data!H9,"n/a")</f>
        <v>n/a</v>
      </c>
      <c r="I9" s="2" t="str">
        <f>IF(AND(ISNUMBER(Data!H9),ISNUMBER(Data!I9)),IF(Data!H9&gt;Data!I9,"▲",IF(Data!H9&lt;Data!I9,"▼","↔")),"-")</f>
        <v>-</v>
      </c>
      <c r="J9" s="49" t="str">
        <f>IF(ISNUMBER(Data!J9),Data!J9,"n/a")</f>
        <v>n/a</v>
      </c>
      <c r="K9" s="2" t="str">
        <f>IF(AND(ISNUMBER(Data!J9),ISNUMBER(Data!K9)),IF(Data!J9&gt;Data!K9,"▲",IF(Data!J9&lt;Data!K9,"▼","↔")),"-")</f>
        <v>-</v>
      </c>
      <c r="L9" s="49" t="str">
        <f>IF(ISNUMBER(Data!L9),Data!L9,"n/a")</f>
        <v>n/a</v>
      </c>
      <c r="M9" s="2" t="str">
        <f>IF(AND(ISNUMBER(Data!L9),ISNUMBER(Data!M9)),IF(Data!L9&gt;Data!M9,"▲",IF(Data!L9&lt;Data!M9,"▼","↔")),"-")</f>
        <v>-</v>
      </c>
      <c r="N9" s="49" t="str">
        <f>IF(ISNUMBER(Data!N9),Data!N9,"n/a")</f>
        <v>n/a</v>
      </c>
      <c r="O9" s="2" t="str">
        <f>IF(AND(ISNUMBER(Data!N9),ISNUMBER(Data!O9)),IF(Data!N9&gt;Data!O9,"▲",IF(Data!N9&lt;Data!O9,"▼","↔")),"-")</f>
        <v>-</v>
      </c>
      <c r="P9" s="50" t="str">
        <f>Data!P9</f>
        <v>Monthly (2nd week)</v>
      </c>
    </row>
    <row r="10" spans="1:20" ht="21.95" customHeight="1">
      <c r="A10" s="52" t="s">
        <v>24</v>
      </c>
      <c r="B10" s="5" t="s">
        <v>26</v>
      </c>
      <c r="C10" s="53" t="s">
        <v>19</v>
      </c>
      <c r="D10" s="49" t="str">
        <f>IF(ISNUMBER(Data!D10),Data!D10,"n/a")</f>
        <v>n/a</v>
      </c>
      <c r="E10" s="2" t="str">
        <f>IF(AND(ISNUMBER(Data!D10),ISNUMBER(Data!E10)),IF(Data!D10&gt;Data!E10,"▲",IF(Data!D10&lt;Data!E10,"▼","↔")),"-")</f>
        <v>-</v>
      </c>
      <c r="F10" s="49" t="str">
        <f>IF(ISNUMBER(Data!F10),Data!F10,"n/a")</f>
        <v>n/a</v>
      </c>
      <c r="G10" s="2" t="str">
        <f>IF(AND(ISNUMBER(Data!F10),ISNUMBER(Data!G10)),IF(Data!F10&gt;Data!G10,"▲",IF(Data!F10&lt;Data!G10,"▼","↔")),"-")</f>
        <v>-</v>
      </c>
      <c r="H10" s="49" t="str">
        <f>IF(ISNUMBER(Data!H10),Data!H10,"n/a")</f>
        <v>n/a</v>
      </c>
      <c r="I10" s="2" t="str">
        <f>IF(AND(ISNUMBER(Data!H10),ISNUMBER(Data!I10)),IF(Data!H10&gt;Data!I10,"▲",IF(Data!H10&lt;Data!I10,"▼","↔")),"-")</f>
        <v>-</v>
      </c>
      <c r="J10" s="49" t="str">
        <f>IF(ISNUMBER(Data!J10),Data!J10,"n/a")</f>
        <v>n/a</v>
      </c>
      <c r="K10" s="2" t="str">
        <f>IF(AND(ISNUMBER(Data!J10),ISNUMBER(Data!K10)),IF(Data!J10&gt;Data!K10,"▲",IF(Data!J10&lt;Data!K10,"▼","↔")),"-")</f>
        <v>-</v>
      </c>
      <c r="L10" s="49" t="str">
        <f>IF(ISNUMBER(Data!L10),Data!L10,"n/a")</f>
        <v>n/a</v>
      </c>
      <c r="M10" s="2" t="str">
        <f>IF(AND(ISNUMBER(Data!L10),ISNUMBER(Data!M10)),IF(Data!L10&gt;Data!M10,"▲",IF(Data!L10&lt;Data!M10,"▼","↔")),"-")</f>
        <v>-</v>
      </c>
      <c r="N10" s="49" t="str">
        <f>IF(ISNUMBER(Data!N10),Data!N10,"n/a")</f>
        <v>n/a</v>
      </c>
      <c r="O10" s="2" t="str">
        <f>IF(AND(ISNUMBER(Data!N10),ISNUMBER(Data!O10)),IF(Data!N10&gt;Data!O10,"▲",IF(Data!N10&lt;Data!O10,"▼","↔")),"-")</f>
        <v>-</v>
      </c>
      <c r="P10" s="50" t="str">
        <f>Data!P10</f>
        <v>Monthly</v>
      </c>
    </row>
    <row r="11" spans="1:20" ht="21.95" customHeight="1">
      <c r="A11" s="52" t="s">
        <v>24</v>
      </c>
      <c r="B11" s="5" t="s">
        <v>27</v>
      </c>
      <c r="C11" s="53" t="s">
        <v>19</v>
      </c>
      <c r="D11" s="49" t="str">
        <f>IF(ISNUMBER(Data!D11),Data!D11,"n/a")</f>
        <v>n/a</v>
      </c>
      <c r="E11" s="2" t="str">
        <f>IF(AND(ISNUMBER(Data!D11),ISNUMBER(Data!E11)),IF(Data!D11&gt;Data!E11,"▲",IF(Data!D11&lt;Data!E11,"▼","↔")),"-")</f>
        <v>-</v>
      </c>
      <c r="F11" s="49" t="str">
        <f>IF(ISNUMBER(Data!F11),Data!F11,"n/a")</f>
        <v>n/a</v>
      </c>
      <c r="G11" s="2" t="str">
        <f>IF(AND(ISNUMBER(Data!F11),ISNUMBER(Data!G11)),IF(Data!F11&gt;Data!G11,"▲",IF(Data!F11&lt;Data!G11,"▼","↔")),"-")</f>
        <v>-</v>
      </c>
      <c r="H11" s="49" t="str">
        <f>IF(ISNUMBER(Data!H11),Data!H11,"n/a")</f>
        <v>n/a</v>
      </c>
      <c r="I11" s="2" t="str">
        <f>IF(AND(ISNUMBER(Data!H11),ISNUMBER(Data!I11)),IF(Data!H11&gt;Data!I11,"▲",IF(Data!H11&lt;Data!I11,"▼","↔")),"-")</f>
        <v>-</v>
      </c>
      <c r="J11" s="49" t="str">
        <f>IF(ISNUMBER(Data!J11),Data!J11,"n/a")</f>
        <v>n/a</v>
      </c>
      <c r="K11" s="2" t="str">
        <f>IF(AND(ISNUMBER(Data!J11),ISNUMBER(Data!K11)),IF(Data!J11&gt;Data!K11,"▲",IF(Data!J11&lt;Data!K11,"▼","↔")),"-")</f>
        <v>-</v>
      </c>
      <c r="L11" s="49" t="str">
        <f>IF(ISNUMBER(Data!L11),Data!L11,"n/a")</f>
        <v>n/a</v>
      </c>
      <c r="M11" s="2" t="str">
        <f>IF(AND(ISNUMBER(Data!L11),ISNUMBER(Data!M11)),IF(Data!L11&gt;Data!M11,"▲",IF(Data!L11&lt;Data!M11,"▼","↔")),"-")</f>
        <v>-</v>
      </c>
      <c r="N11" s="49" t="str">
        <f>IF(ISNUMBER(Data!N11),Data!N11,"n/a")</f>
        <v>n/a</v>
      </c>
      <c r="O11" s="2" t="str">
        <f>IF(AND(ISNUMBER(Data!N11),ISNUMBER(Data!O11)),IF(Data!N11&gt;Data!O11,"▲",IF(Data!N11&lt;Data!O11,"▼","↔")),"-")</f>
        <v>-</v>
      </c>
      <c r="P11" s="50" t="str">
        <f>Data!P11</f>
        <v>Monthly</v>
      </c>
    </row>
    <row r="12" spans="1:20" ht="21.95" customHeight="1">
      <c r="A12" s="54" t="s">
        <v>28</v>
      </c>
      <c r="B12" s="7" t="s">
        <v>29</v>
      </c>
      <c r="C12" s="55" t="s">
        <v>30</v>
      </c>
      <c r="D12" s="56" t="str">
        <f>IF(ISNUMBER(Data!D12),Data!D12,"n/a")</f>
        <v>n/a</v>
      </c>
      <c r="E12" s="2" t="str">
        <f>IF(AND(ISNUMBER(Data!D12),ISNUMBER(Data!E12)),IF(Data!D12&gt;Data!E12,"▲",IF(Data!D12&lt;Data!E12,"▼","↔")),"-")</f>
        <v>-</v>
      </c>
      <c r="F12" s="56" t="str">
        <f>IF(ISNUMBER(Data!F12),Data!F12,"n/a")</f>
        <v>n/a</v>
      </c>
      <c r="G12" s="2" t="str">
        <f>IF(AND(ISNUMBER(Data!F12),ISNUMBER(Data!G12)),IF(Data!F12&gt;Data!G12,"▲",IF(Data!F12&lt;Data!G12,"▼","↔")),"-")</f>
        <v>-</v>
      </c>
      <c r="H12" s="56" t="str">
        <f>IF(ISNUMBER(Data!H12),Data!H12,"n/a")</f>
        <v>n/a</v>
      </c>
      <c r="I12" s="2" t="str">
        <f>IF(AND(ISNUMBER(Data!H12),ISNUMBER(Data!I12)),IF(Data!H12&gt;Data!I12,"▲",IF(Data!H12&lt;Data!I12,"▼","↔")),"-")</f>
        <v>-</v>
      </c>
      <c r="J12" s="56" t="str">
        <f>IF(ISNUMBER(Data!J12),Data!J12,"n/a")</f>
        <v>n/a</v>
      </c>
      <c r="K12" s="2" t="str">
        <f>IF(AND(ISNUMBER(Data!J12),ISNUMBER(Data!K12)),IF(Data!J12&gt;Data!K12,"▲",IF(Data!J12&lt;Data!K12,"▼","↔")),"-")</f>
        <v>-</v>
      </c>
      <c r="L12" s="56" t="str">
        <f>IF(ISNUMBER(Data!L12),Data!L12,"n/a")</f>
        <v>n/a</v>
      </c>
      <c r="M12" s="2" t="str">
        <f>IF(AND(ISNUMBER(Data!L12),ISNUMBER(Data!M12)),IF(Data!L12&gt;Data!M12,"▲",IF(Data!L12&lt;Data!M12,"▼","↔")),"-")</f>
        <v>-</v>
      </c>
      <c r="N12" s="56" t="str">
        <f>IF(ISNUMBER(Data!N12),Data!N12,"n/a")</f>
        <v>n/a</v>
      </c>
      <c r="O12" s="2" t="str">
        <f>IF(AND(ISNUMBER(Data!N12),ISNUMBER(Data!O12)),IF(Data!N12&gt;Data!O12,"▲",IF(Data!N12&lt;Data!O12,"▼","↔")),"-")</f>
        <v>-</v>
      </c>
      <c r="P12" s="50" t="str">
        <f>Data!P12</f>
        <v>Per meeting</v>
      </c>
    </row>
    <row r="13" spans="1:20" ht="21.95" customHeight="1">
      <c r="A13" s="54" t="s">
        <v>28</v>
      </c>
      <c r="B13" s="7" t="s">
        <v>31</v>
      </c>
      <c r="C13" s="55" t="s">
        <v>30</v>
      </c>
      <c r="D13" s="56" t="str">
        <f>IF(ISNUMBER(Data!D13),Data!D13,"n/a")</f>
        <v>n/a</v>
      </c>
      <c r="E13" s="2" t="str">
        <f>IF(AND(ISNUMBER(Data!D13),ISNUMBER(Data!E13)),IF(Data!D13&gt;Data!E13,"▲",IF(Data!D13&lt;Data!E13,"▼","↔")),"-")</f>
        <v>-</v>
      </c>
      <c r="F13" s="56" t="str">
        <f>IF(ISNUMBER(Data!F13),Data!F13,"n/a")</f>
        <v>n/a</v>
      </c>
      <c r="G13" s="2" t="str">
        <f>IF(AND(ISNUMBER(Data!F13),ISNUMBER(Data!G13)),IF(Data!F13&gt;Data!G13,"▲",IF(Data!F13&lt;Data!G13,"▼","↔")),"-")</f>
        <v>-</v>
      </c>
      <c r="H13" s="56" t="str">
        <f>IF(ISNUMBER(Data!H13),Data!H13,"n/a")</f>
        <v>n/a</v>
      </c>
      <c r="I13" s="2" t="str">
        <f>IF(AND(ISNUMBER(Data!H13),ISNUMBER(Data!I13)),IF(Data!H13&gt;Data!I13,"▲",IF(Data!H13&lt;Data!I13,"▼","↔")),"-")</f>
        <v>-</v>
      </c>
      <c r="J13" s="56" t="str">
        <f>IF(ISNUMBER(Data!J13),Data!J13,"n/a")</f>
        <v>n/a</v>
      </c>
      <c r="K13" s="2" t="str">
        <f>IF(AND(ISNUMBER(Data!J13),ISNUMBER(Data!K13)),IF(Data!J13&gt;Data!K13,"▲",IF(Data!J13&lt;Data!K13,"▼","↔")),"-")</f>
        <v>-</v>
      </c>
      <c r="L13" s="56" t="str">
        <f>IF(ISNUMBER(Data!L13),Data!L13,"n/a")</f>
        <v>n/a</v>
      </c>
      <c r="M13" s="2" t="str">
        <f>IF(AND(ISNUMBER(Data!L13),ISNUMBER(Data!M13)),IF(Data!L13&gt;Data!M13,"▲",IF(Data!L13&lt;Data!M13,"▼","↔")),"-")</f>
        <v>-</v>
      </c>
      <c r="N13" s="56" t="str">
        <f>IF(ISNUMBER(Data!N13),Data!N13,"n/a")</f>
        <v>n/a</v>
      </c>
      <c r="O13" s="2" t="str">
        <f>IF(AND(ISNUMBER(Data!N13),ISNUMBER(Data!O13)),IF(Data!N13&gt;Data!O13,"▲",IF(Data!N13&lt;Data!O13,"▼","↔")),"-")</f>
        <v>-</v>
      </c>
      <c r="P13" s="50" t="str">
        <f>Data!P13</f>
        <v>Weekly (Friday)</v>
      </c>
    </row>
    <row r="14" spans="1:20" ht="21.95" customHeight="1">
      <c r="A14" s="54" t="s">
        <v>28</v>
      </c>
      <c r="B14" s="7" t="s">
        <v>32</v>
      </c>
      <c r="C14" s="55" t="s">
        <v>33</v>
      </c>
      <c r="D14" s="57" t="str">
        <f>IF(ISNUMBER(Data!D14),Data!D14,"n/a")</f>
        <v>n/a</v>
      </c>
      <c r="E14" s="2" t="str">
        <f>IF(AND(ISNUMBER(Data!D14),ISNUMBER(Data!E14)),IF(Data!D14&gt;Data!E14,"▲",IF(Data!D14&lt;Data!E14,"▼","↔")),"-")</f>
        <v>-</v>
      </c>
      <c r="F14" s="57" t="str">
        <f>IF(ISNUMBER(Data!F14),Data!F14,"n/a")</f>
        <v>n/a</v>
      </c>
      <c r="G14" s="2" t="str">
        <f>IF(AND(ISNUMBER(Data!F14),ISNUMBER(Data!G14)),IF(Data!F14&gt;Data!G14,"▲",IF(Data!F14&lt;Data!G14,"▼","↔")),"-")</f>
        <v>-</v>
      </c>
      <c r="H14" s="57" t="str">
        <f>IF(ISNUMBER(Data!H14),Data!H14,"n/a")</f>
        <v>n/a</v>
      </c>
      <c r="I14" s="2" t="str">
        <f>IF(AND(ISNUMBER(Data!H14),ISNUMBER(Data!I14)),IF(Data!H14&gt;Data!I14,"▲",IF(Data!H14&lt;Data!I14,"▼","↔")),"-")</f>
        <v>-</v>
      </c>
      <c r="J14" s="57" t="str">
        <f>IF(ISNUMBER(Data!J14),Data!J14,"n/a")</f>
        <v>n/a</v>
      </c>
      <c r="K14" s="2" t="str">
        <f>IF(AND(ISNUMBER(Data!J14),ISNUMBER(Data!K14)),IF(Data!J14&gt;Data!K14,"▲",IF(Data!J14&lt;Data!K14,"▼","↔")),"-")</f>
        <v>-</v>
      </c>
      <c r="L14" s="57" t="str">
        <f>IF(ISNUMBER(Data!L14),Data!L14,"n/a")</f>
        <v>n/a</v>
      </c>
      <c r="M14" s="2" t="str">
        <f>IF(AND(ISNUMBER(Data!L14),ISNUMBER(Data!M14)),IF(Data!L14&gt;Data!M14,"▲",IF(Data!L14&lt;Data!M14,"▼","↔")),"-")</f>
        <v>-</v>
      </c>
      <c r="N14" s="57" t="str">
        <f>IF(ISNUMBER(Data!N14),Data!N14,"n/a")</f>
        <v>n/a</v>
      </c>
      <c r="O14" s="2" t="str">
        <f>IF(AND(ISNUMBER(Data!N14),ISNUMBER(Data!O14)),IF(Data!N14&gt;Data!O14,"▲",IF(Data!N14&lt;Data!O14,"▼","↔")),"-")</f>
        <v>-</v>
      </c>
      <c r="P14" s="50" t="str">
        <f>Data!P14</f>
        <v>Weekly</v>
      </c>
    </row>
    <row r="15" spans="1:20" ht="21.95" customHeight="1">
      <c r="A15" s="58" t="s">
        <v>34</v>
      </c>
      <c r="B15" s="9" t="s">
        <v>35</v>
      </c>
      <c r="C15" s="59" t="s">
        <v>30</v>
      </c>
      <c r="D15" s="49" t="str">
        <f>IF(ISNUMBER(Data!D15),Data!D15,"n/a")</f>
        <v>n/a</v>
      </c>
      <c r="E15" s="2" t="str">
        <f>IF(AND(ISNUMBER(Data!D15),ISNUMBER(Data!E15)),IF(Data!D15&gt;Data!E15,"▲",IF(Data!D15&lt;Data!E15,"▼","↔")),"-")</f>
        <v>-</v>
      </c>
      <c r="F15" s="49" t="str">
        <f>IF(ISNUMBER(Data!F15),Data!F15,"n/a")</f>
        <v>n/a</v>
      </c>
      <c r="G15" s="2" t="str">
        <f>IF(AND(ISNUMBER(Data!F15),ISNUMBER(Data!G15)),IF(Data!F15&gt;Data!G15,"▲",IF(Data!F15&lt;Data!G15,"▼","↔")),"-")</f>
        <v>-</v>
      </c>
      <c r="H15" s="49" t="str">
        <f>IF(ISNUMBER(Data!H15),Data!H15,"n/a")</f>
        <v>n/a</v>
      </c>
      <c r="I15" s="2" t="str">
        <f>IF(AND(ISNUMBER(Data!H15),ISNUMBER(Data!I15)),IF(Data!H15&gt;Data!I15,"▲",IF(Data!H15&lt;Data!I15,"▼","↔")),"-")</f>
        <v>-</v>
      </c>
      <c r="J15" s="49" t="str">
        <f>IF(ISNUMBER(Data!J15),Data!J15,"n/a")</f>
        <v>n/a</v>
      </c>
      <c r="K15" s="2" t="str">
        <f>IF(AND(ISNUMBER(Data!J15),ISNUMBER(Data!K15)),IF(Data!J15&gt;Data!K15,"▲",IF(Data!J15&lt;Data!K15,"▼","↔")),"-")</f>
        <v>-</v>
      </c>
      <c r="L15" s="49" t="str">
        <f>IF(ISNUMBER(Data!L15),Data!L15,"n/a")</f>
        <v>n/a</v>
      </c>
      <c r="M15" s="2" t="str">
        <f>IF(AND(ISNUMBER(Data!L15),ISNUMBER(Data!M15)),IF(Data!L15&gt;Data!M15,"▲",IF(Data!L15&lt;Data!M15,"▼","↔")),"-")</f>
        <v>-</v>
      </c>
      <c r="N15" s="49" t="str">
        <f>IF(ISNUMBER(Data!N15),Data!N15,"n/a")</f>
        <v>n/a</v>
      </c>
      <c r="O15" s="2" t="str">
        <f>IF(AND(ISNUMBER(Data!N15),ISNUMBER(Data!O15)),IF(Data!N15&gt;Data!O15,"▲",IF(Data!N15&lt;Data!O15,"▼","↔")),"-")</f>
        <v>-</v>
      </c>
      <c r="P15" s="50" t="str">
        <f>Data!P15</f>
        <v>Monthly</v>
      </c>
    </row>
    <row r="16" spans="1:20" ht="21.95" customHeight="1">
      <c r="A16" s="58" t="s">
        <v>34</v>
      </c>
      <c r="B16" s="9" t="s">
        <v>36</v>
      </c>
      <c r="C16" s="59" t="s">
        <v>19</v>
      </c>
      <c r="D16" s="49" t="str">
        <f>IF(ISNUMBER(Data!D16),Data!D16,"n/a")</f>
        <v>n/a</v>
      </c>
      <c r="E16" s="2" t="str">
        <f>IF(AND(ISNUMBER(Data!D16),ISNUMBER(Data!E16)),IF(Data!D16&gt;Data!E16,"▲",IF(Data!D16&lt;Data!E16,"▼","↔")),"-")</f>
        <v>-</v>
      </c>
      <c r="F16" s="49" t="str">
        <f>IF(ISNUMBER(Data!F16),Data!F16,"n/a")</f>
        <v>n/a</v>
      </c>
      <c r="G16" s="2" t="str">
        <f>IF(AND(ISNUMBER(Data!F16),ISNUMBER(Data!G16)),IF(Data!F16&gt;Data!G16,"▲",IF(Data!F16&lt;Data!G16,"▼","↔")),"-")</f>
        <v>-</v>
      </c>
      <c r="H16" s="49" t="str">
        <f>IF(ISNUMBER(Data!H16),Data!H16,"n/a")</f>
        <v>n/a</v>
      </c>
      <c r="I16" s="2" t="str">
        <f>IF(AND(ISNUMBER(Data!H16),ISNUMBER(Data!I16)),IF(Data!H16&gt;Data!I16,"▲",IF(Data!H16&lt;Data!I16,"▼","↔")),"-")</f>
        <v>-</v>
      </c>
      <c r="J16" s="49" t="str">
        <f>IF(ISNUMBER(Data!J16),Data!J16,"n/a")</f>
        <v>n/a</v>
      </c>
      <c r="K16" s="2" t="str">
        <f>IF(AND(ISNUMBER(Data!J16),ISNUMBER(Data!K16)),IF(Data!J16&gt;Data!K16,"▲",IF(Data!J16&lt;Data!K16,"▼","↔")),"-")</f>
        <v>-</v>
      </c>
      <c r="L16" s="49" t="str">
        <f>IF(ISNUMBER(Data!L16),Data!L16,"n/a")</f>
        <v>n/a</v>
      </c>
      <c r="M16" s="2" t="str">
        <f>IF(AND(ISNUMBER(Data!L16),ISNUMBER(Data!M16)),IF(Data!L16&gt;Data!M16,"▲",IF(Data!L16&lt;Data!M16,"▼","↔")),"-")</f>
        <v>-</v>
      </c>
      <c r="N16" s="49" t="str">
        <f>IF(ISNUMBER(Data!N16),Data!N16,"n/a")</f>
        <v>n/a</v>
      </c>
      <c r="O16" s="2" t="str">
        <f>IF(AND(ISNUMBER(Data!N16),ISNUMBER(Data!O16)),IF(Data!N16&gt;Data!O16,"▲",IF(Data!N16&lt;Data!O16,"▼","↔")),"-")</f>
        <v>-</v>
      </c>
      <c r="P16" s="50" t="str">
        <f>Data!P16</f>
        <v>Monthly/Quarterly</v>
      </c>
    </row>
    <row r="17" spans="1:16" ht="21.95" customHeight="1">
      <c r="A17" s="60" t="s">
        <v>37</v>
      </c>
      <c r="B17" s="11" t="s">
        <v>38</v>
      </c>
      <c r="C17" s="61" t="s">
        <v>39</v>
      </c>
      <c r="D17" s="56" t="str">
        <f>IF(ISNUMBER(Data!D17),Data!D17,"n/a")</f>
        <v>n/a</v>
      </c>
      <c r="E17" s="2" t="str">
        <f>IF(AND(ISNUMBER(Data!D17),ISNUMBER(Data!E17)),IF(Data!D17&gt;0,"▲",IF(Data!D17&lt;0,"▼","↔")),"-")</f>
        <v>-</v>
      </c>
      <c r="F17" s="56" t="str">
        <f>IF(ISNUMBER(Data!F17),Data!F17,"n/a")</f>
        <v>n/a</v>
      </c>
      <c r="G17" s="2" t="str">
        <f>IF(AND(ISNUMBER(Data!F17),ISNUMBER(Data!G17)),IF(Data!F17&gt;0,"▲",IF(Data!F17&lt;0,"▼","↔")),"-")</f>
        <v>-</v>
      </c>
      <c r="H17" s="56" t="str">
        <f>IF(ISNUMBER(Data!H17),Data!H17,"n/a")</f>
        <v>n/a</v>
      </c>
      <c r="I17" s="2" t="str">
        <f>IF(ISNUMBER(Data!H17),IF(Data!H17&gt;0,"▲",IF(Data!H17&lt;0,"▼","↔")),"-")</f>
        <v>-</v>
      </c>
      <c r="J17" s="56" t="str">
        <f>IF(ISNUMBER(Data!J17),Data!J17,"n/a")</f>
        <v>n/a</v>
      </c>
      <c r="K17" s="2" t="str">
        <f>IF(ISNUMBER(Data!J17),IF(Data!J17&gt;0,"▲",IF(Data!J17&lt;0,"▼","↔")),"-")</f>
        <v>-</v>
      </c>
      <c r="L17" s="56" t="str">
        <f>IF(ISNUMBER(Data!L17),Data!L17,"n/a")</f>
        <v>n/a</v>
      </c>
      <c r="M17" s="2" t="str">
        <f>IF(ISNUMBER(Data!L17),IF(Data!L17&gt;0,"▲",IF(Data!L17&lt;0,"▼","↔")),"-")</f>
        <v>-</v>
      </c>
      <c r="N17" s="56" t="str">
        <f>IF(ISNUMBER(Data!N17),Data!N17,"n/a")</f>
        <v>n/a</v>
      </c>
      <c r="O17" s="2" t="str">
        <f>IF(ISNUMBER(Data!N17),IF(Data!N17&gt;0,"▲",IF(Data!N17&lt;0,"▼","↔")),"-")</f>
        <v>-</v>
      </c>
      <c r="P17" s="50" t="str">
        <f>Data!P17</f>
        <v>Weekly (Friday)</v>
      </c>
    </row>
    <row r="18" spans="1:16" ht="21.95" customHeight="1">
      <c r="A18" s="60" t="s">
        <v>37</v>
      </c>
      <c r="B18" s="11" t="s">
        <v>40</v>
      </c>
      <c r="C18" s="61" t="s">
        <v>39</v>
      </c>
      <c r="D18" s="56" t="str">
        <f>IF(ISNUMBER(Data!D18),Data!D18,"n/a")</f>
        <v>n/a</v>
      </c>
      <c r="E18" s="2" t="str">
        <f>IF(ISNUMBER(Data!D18),IF(Data!D18&gt;0,"▲",IF(Data!D18&lt;0,"▼","↔")),"-")</f>
        <v>-</v>
      </c>
      <c r="F18" s="56" t="str">
        <f>IF(ISNUMBER(Data!F18),Data!F18,"n/a")</f>
        <v>n/a</v>
      </c>
      <c r="G18" s="2" t="str">
        <f>IF(ISNUMBER(Data!F18),IF(Data!F18&gt;0,"▲",IF(Data!F18&lt;0,"▼","↔")),"-")</f>
        <v>-</v>
      </c>
      <c r="H18" s="56" t="str">
        <f>IF(ISNUMBER(Data!H18),Data!H18,"n/a")</f>
        <v>n/a</v>
      </c>
      <c r="I18" s="2" t="str">
        <f>IF(ISNUMBER(Data!H18),IF(Data!H18&gt;0,"▲",IF(Data!H18&lt;0,"▼","↔")),"-")</f>
        <v>-</v>
      </c>
      <c r="J18" s="56" t="str">
        <f>IF(ISNUMBER(Data!J18),Data!J18,"n/a")</f>
        <v>n/a</v>
      </c>
      <c r="K18" s="2" t="str">
        <f>IF(ISNUMBER(Data!J18),IF(Data!J18&gt;0,"▲",IF(Data!J18&lt;0,"▼","↔")),"-")</f>
        <v>-</v>
      </c>
      <c r="L18" s="56" t="str">
        <f>IF(ISNUMBER(Data!L18),Data!L18,"n/a")</f>
        <v>n/a</v>
      </c>
      <c r="M18" s="2" t="str">
        <f>IF(ISNUMBER(Data!L18),IF(Data!L18&gt;0,"▲",IF(Data!L18&lt;0,"▼","↔")),"-")</f>
        <v>-</v>
      </c>
      <c r="N18" s="56" t="str">
        <f>IF(ISNUMBER(Data!N18),Data!N18,"n/a")</f>
        <v>n/a</v>
      </c>
      <c r="O18" s="2" t="str">
        <f>IF(ISNUMBER(Data!N18),IF(Data!N18&gt;0,"▲",IF(Data!N18&lt;0,"▼","↔")),"-")</f>
        <v>-</v>
      </c>
      <c r="P18" s="50" t="str">
        <f>Data!P18</f>
        <v>Weekly</v>
      </c>
    </row>
    <row r="19" spans="1:16" ht="21.95" customHeight="1">
      <c r="A19" s="60" t="s">
        <v>37</v>
      </c>
      <c r="B19" s="11" t="s">
        <v>41</v>
      </c>
      <c r="C19" s="61" t="s">
        <v>33</v>
      </c>
      <c r="D19" s="57" t="str">
        <f>IF(ISNUMBER(Data!D19),Data!D19,"n/a")</f>
        <v>n/a</v>
      </c>
      <c r="E19" s="2" t="str">
        <f>IF(AND(ISNUMBER(Data!D19),ISNUMBER(Data!E19)),IF(Data!D19&gt;Data!E19,"▲",IF(Data!D19&lt;Data!E19,"▼","↔")),"-")</f>
        <v>-</v>
      </c>
      <c r="F19" s="57" t="str">
        <f>IF(ISNUMBER(Data!F19),Data!F19,"n/a")</f>
        <v>n/a</v>
      </c>
      <c r="G19" s="2" t="str">
        <f>IF(AND(ISNUMBER(Data!F19),ISNUMBER(Data!G19)),IF(Data!F19&gt;Data!G19,"▲",IF(Data!F19&lt;Data!G19,"▼","↔")),"-")</f>
        <v>-</v>
      </c>
      <c r="H19" s="57" t="str">
        <f>IF(ISNUMBER(Data!H19),Data!H19,"n/a")</f>
        <v>n/a</v>
      </c>
      <c r="I19" s="2" t="str">
        <f>IF(AND(ISNUMBER(Data!H19),ISNUMBER(Data!I19)),IF(Data!H19&gt;Data!I19,"▲",IF(Data!H19&lt;Data!I19,"▼","↔")),"-")</f>
        <v>-</v>
      </c>
      <c r="J19" s="57" t="str">
        <f>IF(ISNUMBER(Data!J19),Data!J19,"n/a")</f>
        <v>n/a</v>
      </c>
      <c r="K19" s="2" t="str">
        <f>IF(AND(ISNUMBER(Data!J19),ISNUMBER(Data!K19)),IF(Data!J19&gt;Data!K19,"▲",IF(Data!J19&lt;Data!K19,"▼","↔")),"-")</f>
        <v>-</v>
      </c>
      <c r="L19" s="57" t="str">
        <f>IF(ISNUMBER(Data!L19),Data!L19,"n/a")</f>
        <v>n/a</v>
      </c>
      <c r="M19" s="2" t="str">
        <f>IF(AND(ISNUMBER(Data!L19),ISNUMBER(Data!M19)),IF(Data!L19&gt;Data!M19,"▲",IF(Data!L19&lt;Data!M19,"▼","↔")),"-")</f>
        <v>-</v>
      </c>
      <c r="N19" s="57" t="str">
        <f>IF(ISNUMBER(Data!N19),Data!N19,"n/a")</f>
        <v>n/a</v>
      </c>
      <c r="O19" s="2" t="str">
        <f>IF(AND(ISNUMBER(Data!N19),ISNUMBER(Data!O19)),IF(Data!N19&gt;Data!O19,"▲",IF(Data!N19&lt;Data!O19,"▼","↔")),"-")</f>
        <v>-</v>
      </c>
      <c r="P19" s="50" t="str">
        <f>Data!P19</f>
        <v>Weekly</v>
      </c>
    </row>
    <row r="20" spans="1:16" ht="21.95" customHeight="1">
      <c r="A20" s="62" t="s">
        <v>42</v>
      </c>
      <c r="B20" s="13" t="s">
        <v>43</v>
      </c>
      <c r="C20" s="63" t="s">
        <v>44</v>
      </c>
      <c r="D20" s="51" t="str">
        <f>IF(ISNUMBER(Data!D20),Data!D20,"n/a")</f>
        <v>n/a</v>
      </c>
      <c r="E20" s="2" t="str">
        <f>IF(AND(ISNUMBER(Data!D20),ISNUMBER(Data!E20)),IF(Data!D20&gt;Data!E20,"▲",IF(Data!D20&lt;Data!E20,"▼","↔")),"-")</f>
        <v>-</v>
      </c>
      <c r="F20" s="51" t="str">
        <f>IF(ISNUMBER(Data!F20),Data!F20,"n/a")</f>
        <v>n/a</v>
      </c>
      <c r="G20" s="2" t="str">
        <f>IF(AND(ISNUMBER(Data!F20),ISNUMBER(Data!G20)),IF(Data!F20&gt;Data!G20,"▲",IF(Data!F20&lt;Data!G20,"▼","↔")),"-")</f>
        <v>-</v>
      </c>
      <c r="H20" s="51" t="str">
        <f>IF(ISNUMBER(Data!H20),Data!H20,"n/a")</f>
        <v>n/a</v>
      </c>
      <c r="I20" s="2" t="str">
        <f>IF(AND(ISNUMBER(Data!H20),ISNUMBER(Data!I20)),IF(Data!H20&gt;Data!I20,"▲",IF(Data!H20&lt;Data!I20,"▼","↔")),"-")</f>
        <v>-</v>
      </c>
      <c r="J20" s="51" t="str">
        <f>IF(ISNUMBER(Data!J20),Data!J20,"n/a")</f>
        <v>n/a</v>
      </c>
      <c r="K20" s="2" t="str">
        <f>IF(AND(ISNUMBER(Data!J20),ISNUMBER(Data!K20)),IF(Data!J20&gt;Data!K20,"▲",IF(Data!J20&lt;Data!K20,"▼","↔")),"-")</f>
        <v>-</v>
      </c>
      <c r="L20" s="51" t="str">
        <f>IF(ISNUMBER(Data!L20),Data!L20,"n/a")</f>
        <v>n/a</v>
      </c>
      <c r="M20" s="2" t="str">
        <f>IF(AND(ISNUMBER(Data!L20),ISNUMBER(Data!M20)),IF(Data!L20&gt;Data!M20,"▲",IF(Data!L20&lt;Data!M20,"▼","↔")),"-")</f>
        <v>-</v>
      </c>
      <c r="N20" s="51" t="str">
        <f>IF(ISNUMBER(Data!N20),Data!N20,"n/a")</f>
        <v>n/a</v>
      </c>
      <c r="O20" s="2" t="str">
        <f>IF(AND(ISNUMBER(Data!N20),ISNUMBER(Data!O20)),IF(Data!N20&gt;Data!O20,"▲",IF(Data!N20&lt;Data!O20,"▼","↔")),"-")</f>
        <v>-</v>
      </c>
      <c r="P20" s="50" t="str">
        <f>Data!P20</f>
        <v>Monthly</v>
      </c>
    </row>
    <row r="21" spans="1:16" ht="21.95" customHeight="1">
      <c r="A21" s="62" t="s">
        <v>42</v>
      </c>
      <c r="B21" s="13" t="s">
        <v>45</v>
      </c>
      <c r="C21" s="63" t="s">
        <v>44</v>
      </c>
      <c r="D21" s="51" t="str">
        <f>IF(ISNUMBER(Data!D21),Data!D21,"n/a")</f>
        <v>n/a</v>
      </c>
      <c r="E21" s="2" t="str">
        <f>IF(AND(ISNUMBER(Data!D21),ISNUMBER(Data!E21)),IF(Data!D21&gt;Data!E21,"▲",IF(Data!D21&lt;Data!E21,"▼","↔")),"-")</f>
        <v>-</v>
      </c>
      <c r="F21" s="51" t="str">
        <f>IF(ISNUMBER(Data!F21),Data!F21,"n/a")</f>
        <v>n/a</v>
      </c>
      <c r="G21" s="2" t="str">
        <f>IF(AND(ISNUMBER(Data!F21),ISNUMBER(Data!G21)),IF(Data!F21&gt;Data!G21,"▲",IF(Data!F21&lt;Data!G21,"▼","↔")),"-")</f>
        <v>-</v>
      </c>
      <c r="H21" s="51" t="str">
        <f>IF(ISNUMBER(Data!H21),Data!H21,"n/a")</f>
        <v>n/a</v>
      </c>
      <c r="I21" s="2" t="str">
        <f>IF(AND(ISNUMBER(Data!H21),ISNUMBER(Data!I21)),IF(Data!H21&gt;Data!I21,"▲",IF(Data!H21&lt;Data!I21,"▼","↔")),"-")</f>
        <v>-</v>
      </c>
      <c r="J21" s="51" t="str">
        <f>IF(ISNUMBER(Data!J21),Data!J21,"n/a")</f>
        <v>n/a</v>
      </c>
      <c r="K21" s="2" t="str">
        <f>IF(AND(ISNUMBER(Data!J21),ISNUMBER(Data!K21)),IF(Data!J21&gt;Data!K21,"▲",IF(Data!J21&lt;Data!K21,"▼","↔")),"-")</f>
        <v>-</v>
      </c>
      <c r="L21" s="51" t="str">
        <f>IF(ISNUMBER(Data!L21),Data!L21,"n/a")</f>
        <v>n/a</v>
      </c>
      <c r="M21" s="2" t="str">
        <f>IF(AND(ISNUMBER(Data!L21),ISNUMBER(Data!M21)),IF(Data!L21&gt;Data!M21,"▲",IF(Data!L21&lt;Data!M21,"▼","↔")),"-")</f>
        <v>-</v>
      </c>
      <c r="N21" s="51" t="str">
        <f>IF(ISNUMBER(Data!N21),Data!N21,"n/a")</f>
        <v>n/a</v>
      </c>
      <c r="O21" s="2" t="str">
        <f>IF(AND(ISNUMBER(Data!N21),ISNUMBER(Data!O21)),IF(Data!N21&gt;Data!O21,"▲",IF(Data!N21&lt;Data!O21,"▼","↔")),"-")</f>
        <v>-</v>
      </c>
      <c r="P21" s="50" t="str">
        <f>Data!P21</f>
        <v>Monthly</v>
      </c>
    </row>
    <row r="22" spans="1:16" ht="21.95" customHeight="1">
      <c r="A22" s="62" t="s">
        <v>42</v>
      </c>
      <c r="B22" s="13" t="s">
        <v>46</v>
      </c>
      <c r="C22" s="63" t="s">
        <v>47</v>
      </c>
      <c r="D22" s="64" t="s">
        <v>48</v>
      </c>
      <c r="E22" s="64" t="s">
        <v>48</v>
      </c>
      <c r="F22" s="64" t="s">
        <v>48</v>
      </c>
      <c r="G22" s="64" t="s">
        <v>48</v>
      </c>
      <c r="H22" s="64" t="s">
        <v>48</v>
      </c>
      <c r="I22" s="64" t="s">
        <v>48</v>
      </c>
      <c r="J22" s="64" t="s">
        <v>48</v>
      </c>
      <c r="K22" s="64" t="s">
        <v>48</v>
      </c>
      <c r="L22" s="64" t="s">
        <v>48</v>
      </c>
      <c r="M22" s="64" t="s">
        <v>48</v>
      </c>
      <c r="N22" s="65" t="str">
        <f>IF(ISNUMBER(Data!N22),Data!N22,"n/a")</f>
        <v>n/a</v>
      </c>
      <c r="O22" s="2" t="str">
        <f>IF(AND(ISNUMBER(Data!N22),ISNUMBER(Data!O22)),IF(Data!N22&gt;Data!O22,"▲",IF(Data!N22&lt;Data!O22,"▼","↔")),"-")</f>
        <v>-</v>
      </c>
      <c r="P22" s="50" t="str">
        <f>Data!P22</f>
        <v>Monthly</v>
      </c>
    </row>
    <row r="23" spans="1:16" ht="21.95" customHeight="1">
      <c r="A23" s="66" t="s">
        <v>49</v>
      </c>
      <c r="B23" s="15" t="s">
        <v>50</v>
      </c>
      <c r="C23" s="67" t="s">
        <v>51</v>
      </c>
      <c r="D23" s="51" t="str">
        <f>IF(ISNUMBER(Data!D23),Data!D23,"n/a")</f>
        <v>n/a</v>
      </c>
      <c r="E23" s="2" t="str">
        <f>IF(AND(ISNUMBER(Data!D23),ISNUMBER(Data!E23)),IF(Data!D23&gt;Data!E23,"▲",IF(Data!D23&lt;Data!E23,"▼","↔")),"-")</f>
        <v>-</v>
      </c>
      <c r="F23" s="51" t="str">
        <f>IF(ISNUMBER(Data!D23),Data!D23,"n/a")</f>
        <v>n/a</v>
      </c>
      <c r="G23" s="2" t="str">
        <f>IF(AND(ISNUMBER(Data!D23),ISNUMBER(Data!E23)),IF(Data!D23&gt;Data!E23,"▲",IF(Data!D23&lt;Data!E23,"▼","↔")),"-")</f>
        <v>-</v>
      </c>
      <c r="H23" s="51" t="str">
        <f>IF(ISNUMBER(Data!D23),Data!D23,"n/a")</f>
        <v>n/a</v>
      </c>
      <c r="I23" s="2" t="str">
        <f>IF(AND(ISNUMBER(Data!D23),ISNUMBER(Data!E23)),IF(Data!D23&gt;Data!E23,"▲",IF(Data!D23&lt;Data!E23,"▼","↔")),"-")</f>
        <v>-</v>
      </c>
      <c r="J23" s="51" t="str">
        <f>IF(ISNUMBER(Data!D23),Data!D23,"n/a")</f>
        <v>n/a</v>
      </c>
      <c r="K23" s="2" t="str">
        <f>IF(AND(ISNUMBER(Data!D23),ISNUMBER(Data!E23)),IF(Data!D23&gt;Data!E23,"▲",IF(Data!D23&lt;Data!E23,"▼","↔")),"-")</f>
        <v>-</v>
      </c>
      <c r="L23" s="51" t="str">
        <f>IF(ISNUMBER(Data!D23),Data!D23,"n/a")</f>
        <v>n/a</v>
      </c>
      <c r="M23" s="2" t="str">
        <f>IF(AND(ISNUMBER(Data!D23),ISNUMBER(Data!E23)),IF(Data!D23&gt;Data!E23,"▲",IF(Data!D23&lt;Data!E23,"▼","↔")),"-")</f>
        <v>-</v>
      </c>
      <c r="N23" s="51" t="str">
        <f>IF(ISNUMBER(Data!D23),Data!D23,"n/a")</f>
        <v>n/a</v>
      </c>
      <c r="O23" s="2" t="str">
        <f>IF(AND(ISNUMBER(Data!D23),ISNUMBER(Data!E23)),IF(Data!D23&gt;Data!E23,"▲",IF(Data!D23&lt;Data!E23,"▼","↔")),"-")</f>
        <v>-</v>
      </c>
      <c r="P23" s="50" t="str">
        <f>Data!P23</f>
        <v>Weekly</v>
      </c>
    </row>
    <row r="25" spans="1:16">
      <c r="A25" s="68" t="s">
        <v>52</v>
      </c>
      <c r="B25" s="69" t="s">
        <v>53</v>
      </c>
      <c r="C25" s="70" t="s">
        <v>54</v>
      </c>
      <c r="D25" s="71" t="s">
        <v>55</v>
      </c>
      <c r="F25" s="1" t="s">
        <v>56</v>
      </c>
      <c r="G25" s="1" t="s">
        <v>57</v>
      </c>
      <c r="H25" s="1" t="s">
        <v>58</v>
      </c>
      <c r="J25" s="72" t="s">
        <v>59</v>
      </c>
    </row>
    <row r="27" spans="1:16">
      <c r="A27" s="38" t="s">
        <v>60</v>
      </c>
      <c r="B27" s="73" t="s">
        <v>17</v>
      </c>
      <c r="C27" s="3" t="s">
        <v>61</v>
      </c>
    </row>
    <row r="28" spans="1:16">
      <c r="B28" s="74" t="s">
        <v>24</v>
      </c>
      <c r="C28" s="5" t="s">
        <v>62</v>
      </c>
    </row>
    <row r="29" spans="1:16">
      <c r="B29" s="75" t="s">
        <v>28</v>
      </c>
      <c r="C29" s="7" t="s">
        <v>63</v>
      </c>
    </row>
    <row r="30" spans="1:16">
      <c r="B30" s="76" t="s">
        <v>34</v>
      </c>
      <c r="C30" s="9" t="s">
        <v>64</v>
      </c>
    </row>
    <row r="31" spans="1:16">
      <c r="B31" s="77" t="s">
        <v>37</v>
      </c>
      <c r="C31" s="11" t="s">
        <v>65</v>
      </c>
    </row>
    <row r="32" spans="1:16">
      <c r="B32" s="78" t="s">
        <v>42</v>
      </c>
      <c r="C32" s="13" t="s">
        <v>66</v>
      </c>
    </row>
    <row r="33" spans="2:3">
      <c r="B33" s="79" t="s">
        <v>49</v>
      </c>
      <c r="C33" s="15" t="s">
        <v>67</v>
      </c>
    </row>
  </sheetData>
  <mergeCells count="2">
    <mergeCell ref="A1:R1"/>
    <mergeCell ref="A2:R2"/>
  </mergeCells>
  <conditionalFormatting sqref="D5">
    <cfRule type="expression" dxfId="287" priority="3">
      <formula>AND(ISNUMBER(D5),D5&gt;=2.5)</formula>
    </cfRule>
  </conditionalFormatting>
  <conditionalFormatting sqref="D5">
    <cfRule type="expression" dxfId="286" priority="4">
      <formula>AND(ISNUMBER(D5),D5&gt;=1,D5&lt;2.5)</formula>
    </cfRule>
  </conditionalFormatting>
  <conditionalFormatting sqref="D5">
    <cfRule type="expression" dxfId="285" priority="5">
      <formula>AND(ISNUMBER(D5),D5&lt;1)</formula>
    </cfRule>
  </conditionalFormatting>
  <conditionalFormatting sqref="F5">
    <cfRule type="expression" dxfId="284" priority="6">
      <formula>AND(ISNUMBER(F5),F5&gt;=2.5)</formula>
    </cfRule>
  </conditionalFormatting>
  <conditionalFormatting sqref="F5">
    <cfRule type="expression" dxfId="283" priority="7">
      <formula>AND(ISNUMBER(F5),F5&gt;=1,F5&lt;2.5)</formula>
    </cfRule>
  </conditionalFormatting>
  <conditionalFormatting sqref="F5">
    <cfRule type="expression" dxfId="282" priority="8">
      <formula>AND(ISNUMBER(F5),F5&lt;1)</formula>
    </cfRule>
  </conditionalFormatting>
  <conditionalFormatting sqref="H5">
    <cfRule type="expression" dxfId="281" priority="9">
      <formula>AND(ISNUMBER(H5),H5&gt;=2.5)</formula>
    </cfRule>
  </conditionalFormatting>
  <conditionalFormatting sqref="H5">
    <cfRule type="expression" dxfId="280" priority="10">
      <formula>AND(ISNUMBER(H5),H5&gt;=1,H5&lt;2.5)</formula>
    </cfRule>
  </conditionalFormatting>
  <conditionalFormatting sqref="H5">
    <cfRule type="expression" dxfId="279" priority="11">
      <formula>AND(ISNUMBER(H5),H5&lt;1)</formula>
    </cfRule>
  </conditionalFormatting>
  <conditionalFormatting sqref="J5">
    <cfRule type="expression" dxfId="278" priority="12">
      <formula>AND(ISNUMBER(J5),J5&gt;=2.5)</formula>
    </cfRule>
  </conditionalFormatting>
  <conditionalFormatting sqref="J5">
    <cfRule type="expression" dxfId="277" priority="13">
      <formula>AND(ISNUMBER(J5),J5&gt;=1,J5&lt;2.5)</formula>
    </cfRule>
  </conditionalFormatting>
  <conditionalFormatting sqref="J5">
    <cfRule type="expression" dxfId="276" priority="14">
      <formula>AND(ISNUMBER(J5),J5&lt;1)</formula>
    </cfRule>
  </conditionalFormatting>
  <conditionalFormatting sqref="L5">
    <cfRule type="expression" dxfId="275" priority="15">
      <formula>AND(ISNUMBER(L5),L5&gt;=2.5)</formula>
    </cfRule>
  </conditionalFormatting>
  <conditionalFormatting sqref="L5">
    <cfRule type="expression" dxfId="274" priority="16">
      <formula>AND(ISNUMBER(L5),L5&gt;=1,L5&lt;2.5)</formula>
    </cfRule>
  </conditionalFormatting>
  <conditionalFormatting sqref="L5">
    <cfRule type="expression" dxfId="273" priority="17">
      <formula>AND(ISNUMBER(L5),L5&lt;1)</formula>
    </cfRule>
  </conditionalFormatting>
  <conditionalFormatting sqref="N5">
    <cfRule type="expression" dxfId="272" priority="18">
      <formula>AND(ISNUMBER(N5),N5&gt;=2.5)</formula>
    </cfRule>
  </conditionalFormatting>
  <conditionalFormatting sqref="N5">
    <cfRule type="expression" dxfId="271" priority="19">
      <formula>AND(ISNUMBER(N5),N5&gt;=1,N5&lt;2.5)</formula>
    </cfRule>
  </conditionalFormatting>
  <conditionalFormatting sqref="N5">
    <cfRule type="expression" dxfId="270" priority="20">
      <formula>AND(ISNUMBER(N5),N5&lt;1)</formula>
    </cfRule>
  </conditionalFormatting>
  <conditionalFormatting sqref="D6">
    <cfRule type="expression" dxfId="269" priority="21">
      <formula>AND(ISNUMBER(D6),D6&gt;=52)</formula>
    </cfRule>
  </conditionalFormatting>
  <conditionalFormatting sqref="D6">
    <cfRule type="expression" dxfId="268" priority="22">
      <formula>AND(ISNUMBER(D6),D6&gt;=50,D6&lt;52)</formula>
    </cfRule>
  </conditionalFormatting>
  <conditionalFormatting sqref="D6">
    <cfRule type="expression" dxfId="267" priority="23">
      <formula>AND(ISNUMBER(D6),D6&lt;50)</formula>
    </cfRule>
  </conditionalFormatting>
  <conditionalFormatting sqref="F6">
    <cfRule type="expression" dxfId="266" priority="24">
      <formula>AND(ISNUMBER(F6),F6&gt;=52)</formula>
    </cfRule>
  </conditionalFormatting>
  <conditionalFormatting sqref="F6">
    <cfRule type="expression" dxfId="265" priority="25">
      <formula>AND(ISNUMBER(F6),F6&gt;=50,F6&lt;52)</formula>
    </cfRule>
  </conditionalFormatting>
  <conditionalFormatting sqref="F6">
    <cfRule type="expression" dxfId="264" priority="26">
      <formula>AND(ISNUMBER(F6),F6&lt;50)</formula>
    </cfRule>
  </conditionalFormatting>
  <conditionalFormatting sqref="H6">
    <cfRule type="expression" dxfId="263" priority="27">
      <formula>AND(ISNUMBER(H6),H6&gt;=52)</formula>
    </cfRule>
  </conditionalFormatting>
  <conditionalFormatting sqref="H6">
    <cfRule type="expression" dxfId="262" priority="28">
      <formula>AND(ISNUMBER(H6),H6&gt;=50,H6&lt;52)</formula>
    </cfRule>
  </conditionalFormatting>
  <conditionalFormatting sqref="H6">
    <cfRule type="expression" dxfId="261" priority="29">
      <formula>AND(ISNUMBER(H6),H6&lt;50)</formula>
    </cfRule>
  </conditionalFormatting>
  <conditionalFormatting sqref="J6">
    <cfRule type="expression" dxfId="260" priority="30">
      <formula>AND(ISNUMBER(J6),J6&gt;=52)</formula>
    </cfRule>
  </conditionalFormatting>
  <conditionalFormatting sqref="J6">
    <cfRule type="expression" dxfId="259" priority="31">
      <formula>AND(ISNUMBER(J6),J6&gt;=50,J6&lt;52)</formula>
    </cfRule>
  </conditionalFormatting>
  <conditionalFormatting sqref="J6">
    <cfRule type="expression" dxfId="258" priority="32">
      <formula>AND(ISNUMBER(J6),J6&lt;50)</formula>
    </cfRule>
  </conditionalFormatting>
  <conditionalFormatting sqref="L6">
    <cfRule type="expression" dxfId="257" priority="33">
      <formula>AND(ISNUMBER(L6),L6&gt;=52)</formula>
    </cfRule>
  </conditionalFormatting>
  <conditionalFormatting sqref="L6">
    <cfRule type="expression" dxfId="256" priority="34">
      <formula>AND(ISNUMBER(L6),L6&gt;=50,L6&lt;52)</formula>
    </cfRule>
  </conditionalFormatting>
  <conditionalFormatting sqref="L6">
    <cfRule type="expression" dxfId="255" priority="35">
      <formula>AND(ISNUMBER(L6),L6&lt;50)</formula>
    </cfRule>
  </conditionalFormatting>
  <conditionalFormatting sqref="N6">
    <cfRule type="expression" dxfId="254" priority="36">
      <formula>AND(ISNUMBER(N6),N6&gt;=52)</formula>
    </cfRule>
  </conditionalFormatting>
  <conditionalFormatting sqref="N6">
    <cfRule type="expression" dxfId="253" priority="37">
      <formula>AND(ISNUMBER(N6),N6&gt;=50,N6&lt;52)</formula>
    </cfRule>
  </conditionalFormatting>
  <conditionalFormatting sqref="N6">
    <cfRule type="expression" dxfId="252" priority="38">
      <formula>AND(ISNUMBER(N6),N6&lt;50)</formula>
    </cfRule>
  </conditionalFormatting>
  <conditionalFormatting sqref="D7">
    <cfRule type="expression" dxfId="251" priority="39">
      <formula>AND(ISNUMBER(D7),D7&gt;=52)</formula>
    </cfRule>
  </conditionalFormatting>
  <conditionalFormatting sqref="D7">
    <cfRule type="expression" dxfId="250" priority="40">
      <formula>AND(ISNUMBER(D7),D7&gt;=50,D7&lt;52)</formula>
    </cfRule>
  </conditionalFormatting>
  <conditionalFormatting sqref="D7">
    <cfRule type="expression" dxfId="249" priority="41">
      <formula>AND(ISNUMBER(D7),D7&lt;50)</formula>
    </cfRule>
  </conditionalFormatting>
  <conditionalFormatting sqref="F7">
    <cfRule type="expression" dxfId="248" priority="42">
      <formula>AND(ISNUMBER(F7),F7&gt;=52)</formula>
    </cfRule>
  </conditionalFormatting>
  <conditionalFormatting sqref="F7">
    <cfRule type="expression" dxfId="247" priority="43">
      <formula>AND(ISNUMBER(F7),F7&gt;=50,F7&lt;52)</formula>
    </cfRule>
  </conditionalFormatting>
  <conditionalFormatting sqref="F7">
    <cfRule type="expression" dxfId="246" priority="44">
      <formula>AND(ISNUMBER(F7),F7&lt;50)</formula>
    </cfRule>
  </conditionalFormatting>
  <conditionalFormatting sqref="H7">
    <cfRule type="expression" dxfId="245" priority="45">
      <formula>AND(ISNUMBER(H7),H7&gt;=52)</formula>
    </cfRule>
  </conditionalFormatting>
  <conditionalFormatting sqref="H7">
    <cfRule type="expression" dxfId="244" priority="46">
      <formula>AND(ISNUMBER(H7),H7&gt;=50,H7&lt;52)</formula>
    </cfRule>
  </conditionalFormatting>
  <conditionalFormatting sqref="H7">
    <cfRule type="expression" dxfId="243" priority="47">
      <formula>AND(ISNUMBER(H7),H7&lt;50)</formula>
    </cfRule>
  </conditionalFormatting>
  <conditionalFormatting sqref="J7">
    <cfRule type="expression" dxfId="242" priority="48">
      <formula>AND(ISNUMBER(J7),J7&gt;=52)</formula>
    </cfRule>
  </conditionalFormatting>
  <conditionalFormatting sqref="J7">
    <cfRule type="expression" dxfId="241" priority="49">
      <formula>AND(ISNUMBER(J7),J7&gt;=50,J7&lt;52)</formula>
    </cfRule>
  </conditionalFormatting>
  <conditionalFormatting sqref="J7">
    <cfRule type="expression" dxfId="240" priority="50">
      <formula>AND(ISNUMBER(J7),J7&lt;50)</formula>
    </cfRule>
  </conditionalFormatting>
  <conditionalFormatting sqref="L7">
    <cfRule type="expression" dxfId="239" priority="51">
      <formula>AND(ISNUMBER(L7),L7&gt;=52)</formula>
    </cfRule>
  </conditionalFormatting>
  <conditionalFormatting sqref="L7">
    <cfRule type="expression" dxfId="238" priority="52">
      <formula>AND(ISNUMBER(L7),L7&gt;=50,L7&lt;52)</formula>
    </cfRule>
  </conditionalFormatting>
  <conditionalFormatting sqref="L7">
    <cfRule type="expression" dxfId="237" priority="53">
      <formula>AND(ISNUMBER(L7),L7&lt;50)</formula>
    </cfRule>
  </conditionalFormatting>
  <conditionalFormatting sqref="N7">
    <cfRule type="expression" dxfId="236" priority="54">
      <formula>AND(ISNUMBER(N7),N7&gt;=52)</formula>
    </cfRule>
  </conditionalFormatting>
  <conditionalFormatting sqref="N7">
    <cfRule type="expression" dxfId="235" priority="55">
      <formula>AND(ISNUMBER(N7),N7&gt;=50,N7&lt;52)</formula>
    </cfRule>
  </conditionalFormatting>
  <conditionalFormatting sqref="N7">
    <cfRule type="expression" dxfId="234" priority="56">
      <formula>AND(ISNUMBER(N7),N7&lt;50)</formula>
    </cfRule>
  </conditionalFormatting>
  <conditionalFormatting sqref="D8">
    <cfRule type="expression" dxfId="233" priority="57">
      <formula>AND(ISNUMBER(D8),D8&gt;=3)</formula>
    </cfRule>
  </conditionalFormatting>
  <conditionalFormatting sqref="D8">
    <cfRule type="expression" dxfId="232" priority="58">
      <formula>AND(ISNUMBER(D8),D8&gt;=0,D8&lt;3)</formula>
    </cfRule>
  </conditionalFormatting>
  <conditionalFormatting sqref="D8">
    <cfRule type="expression" dxfId="231" priority="59">
      <formula>AND(ISNUMBER(D8),D8&lt;0)</formula>
    </cfRule>
  </conditionalFormatting>
  <conditionalFormatting sqref="F8">
    <cfRule type="expression" dxfId="230" priority="60">
      <formula>AND(ISNUMBER(F8),F8&gt;=3)</formula>
    </cfRule>
  </conditionalFormatting>
  <conditionalFormatting sqref="F8">
    <cfRule type="expression" dxfId="229" priority="61">
      <formula>AND(ISNUMBER(F8),F8&gt;=0,F8&lt;3)</formula>
    </cfRule>
  </conditionalFormatting>
  <conditionalFormatting sqref="F8">
    <cfRule type="expression" dxfId="228" priority="62">
      <formula>AND(ISNUMBER(F8),F8&lt;0)</formula>
    </cfRule>
  </conditionalFormatting>
  <conditionalFormatting sqref="H8">
    <cfRule type="expression" dxfId="227" priority="63">
      <formula>AND(ISNUMBER(H8),H8&gt;=3)</formula>
    </cfRule>
  </conditionalFormatting>
  <conditionalFormatting sqref="H8">
    <cfRule type="expression" dxfId="226" priority="64">
      <formula>AND(ISNUMBER(H8),H8&gt;=0,H8&lt;3)</formula>
    </cfRule>
  </conditionalFormatting>
  <conditionalFormatting sqref="H8">
    <cfRule type="expression" dxfId="225" priority="65">
      <formula>AND(ISNUMBER(H8),H8&lt;0)</formula>
    </cfRule>
  </conditionalFormatting>
  <conditionalFormatting sqref="J8">
    <cfRule type="expression" dxfId="224" priority="66">
      <formula>AND(ISNUMBER(J8),J8&gt;=3)</formula>
    </cfRule>
  </conditionalFormatting>
  <conditionalFormatting sqref="J8">
    <cfRule type="expression" dxfId="223" priority="67">
      <formula>AND(ISNUMBER(J8),J8&gt;=0,J8&lt;3)</formula>
    </cfRule>
  </conditionalFormatting>
  <conditionalFormatting sqref="J8">
    <cfRule type="expression" dxfId="222" priority="68">
      <formula>AND(ISNUMBER(J8),J8&lt;0)</formula>
    </cfRule>
  </conditionalFormatting>
  <conditionalFormatting sqref="L8">
    <cfRule type="expression" dxfId="221" priority="69">
      <formula>AND(ISNUMBER(L8),L8&gt;=3)</formula>
    </cfRule>
  </conditionalFormatting>
  <conditionalFormatting sqref="L8">
    <cfRule type="expression" dxfId="220" priority="70">
      <formula>AND(ISNUMBER(L8),L8&gt;=0,L8&lt;3)</formula>
    </cfRule>
  </conditionalFormatting>
  <conditionalFormatting sqref="L8">
    <cfRule type="expression" dxfId="219" priority="71">
      <formula>AND(ISNUMBER(L8),L8&lt;0)</formula>
    </cfRule>
  </conditionalFormatting>
  <conditionalFormatting sqref="N8">
    <cfRule type="expression" dxfId="218" priority="72">
      <formula>AND(ISNUMBER(N8),N8&gt;=3)</formula>
    </cfRule>
  </conditionalFormatting>
  <conditionalFormatting sqref="N8">
    <cfRule type="expression" dxfId="217" priority="73">
      <formula>AND(ISNUMBER(N8),N8&gt;=0,N8&lt;3)</formula>
    </cfRule>
  </conditionalFormatting>
  <conditionalFormatting sqref="N8">
    <cfRule type="expression" dxfId="216" priority="74">
      <formula>AND(ISNUMBER(N8),N8&lt;0)</formula>
    </cfRule>
  </conditionalFormatting>
  <conditionalFormatting sqref="D9">
    <cfRule type="expression" dxfId="215" priority="75">
      <formula>AND(ISNUMBER(D9),D9&lt;=4)</formula>
    </cfRule>
  </conditionalFormatting>
  <conditionalFormatting sqref="D9">
    <cfRule type="expression" dxfId="214" priority="76">
      <formula>AND(ISNUMBER(D9),D9&gt;4,D9&lt;=8)</formula>
    </cfRule>
  </conditionalFormatting>
  <conditionalFormatting sqref="D9">
    <cfRule type="expression" dxfId="213" priority="77">
      <formula>AND(ISNUMBER(D9),D9&gt;8)</formula>
    </cfRule>
  </conditionalFormatting>
  <conditionalFormatting sqref="F9">
    <cfRule type="expression" dxfId="212" priority="78">
      <formula>AND(ISNUMBER(F9),F9&lt;=4)</formula>
    </cfRule>
  </conditionalFormatting>
  <conditionalFormatting sqref="F9">
    <cfRule type="expression" dxfId="211" priority="79">
      <formula>AND(ISNUMBER(F9),F9&gt;4,F9&lt;=8)</formula>
    </cfRule>
  </conditionalFormatting>
  <conditionalFormatting sqref="F9">
    <cfRule type="expression" dxfId="210" priority="80">
      <formula>AND(ISNUMBER(F9),F9&gt;8)</formula>
    </cfRule>
  </conditionalFormatting>
  <conditionalFormatting sqref="H9">
    <cfRule type="expression" dxfId="209" priority="81">
      <formula>AND(ISNUMBER(H9),H9&lt;=4)</formula>
    </cfRule>
  </conditionalFormatting>
  <conditionalFormatting sqref="H9">
    <cfRule type="expression" dxfId="208" priority="82">
      <formula>AND(ISNUMBER(H9),H9&gt;4,H9&lt;=8)</formula>
    </cfRule>
  </conditionalFormatting>
  <conditionalFormatting sqref="H9">
    <cfRule type="expression" dxfId="207" priority="83">
      <formula>AND(ISNUMBER(H9),H9&gt;8)</formula>
    </cfRule>
  </conditionalFormatting>
  <conditionalFormatting sqref="J9">
    <cfRule type="expression" dxfId="206" priority="84">
      <formula>AND(ISNUMBER(J9),J9&lt;=4)</formula>
    </cfRule>
  </conditionalFormatting>
  <conditionalFormatting sqref="J9">
    <cfRule type="expression" dxfId="205" priority="85">
      <formula>AND(ISNUMBER(J9),J9&gt;4,J9&lt;=8)</formula>
    </cfRule>
  </conditionalFormatting>
  <conditionalFormatting sqref="J9">
    <cfRule type="expression" dxfId="204" priority="86">
      <formula>AND(ISNUMBER(J9),J9&gt;8)</formula>
    </cfRule>
  </conditionalFormatting>
  <conditionalFormatting sqref="L9">
    <cfRule type="expression" dxfId="203" priority="87">
      <formula>AND(ISNUMBER(L9),L9&lt;=4)</formula>
    </cfRule>
  </conditionalFormatting>
  <conditionalFormatting sqref="L9">
    <cfRule type="expression" dxfId="202" priority="88">
      <formula>AND(ISNUMBER(L9),L9&gt;4,L9&lt;=8)</formula>
    </cfRule>
  </conditionalFormatting>
  <conditionalFormatting sqref="L9">
    <cfRule type="expression" dxfId="201" priority="89">
      <formula>AND(ISNUMBER(L9),L9&gt;8)</formula>
    </cfRule>
  </conditionalFormatting>
  <conditionalFormatting sqref="N9">
    <cfRule type="expression" dxfId="200" priority="90">
      <formula>AND(ISNUMBER(N9),N9&lt;=4)</formula>
    </cfRule>
  </conditionalFormatting>
  <conditionalFormatting sqref="N9">
    <cfRule type="expression" dxfId="199" priority="91">
      <formula>AND(ISNUMBER(N9),N9&gt;4,N9&lt;=8)</formula>
    </cfRule>
  </conditionalFormatting>
  <conditionalFormatting sqref="N9">
    <cfRule type="expression" dxfId="198" priority="92">
      <formula>AND(ISNUMBER(N9),N9&gt;8)</formula>
    </cfRule>
  </conditionalFormatting>
  <conditionalFormatting sqref="D10">
    <cfRule type="expression" dxfId="197" priority="93">
      <formula>AND(ISNUMBER(D10),D10&lt;=4)</formula>
    </cfRule>
  </conditionalFormatting>
  <conditionalFormatting sqref="D10">
    <cfRule type="expression" dxfId="196" priority="94">
      <formula>AND(ISNUMBER(D10),D10&gt;4,D10&lt;=8)</formula>
    </cfRule>
  </conditionalFormatting>
  <conditionalFormatting sqref="D10">
    <cfRule type="expression" dxfId="195" priority="95">
      <formula>AND(ISNUMBER(D10),D10&gt;8)</formula>
    </cfRule>
  </conditionalFormatting>
  <conditionalFormatting sqref="F10">
    <cfRule type="expression" dxfId="194" priority="96">
      <formula>AND(ISNUMBER(F10),F10&lt;=4)</formula>
    </cfRule>
  </conditionalFormatting>
  <conditionalFormatting sqref="F10">
    <cfRule type="expression" dxfId="193" priority="97">
      <formula>AND(ISNUMBER(F10),F10&gt;4,F10&lt;=8)</formula>
    </cfRule>
  </conditionalFormatting>
  <conditionalFormatting sqref="F10">
    <cfRule type="expression" dxfId="192" priority="98">
      <formula>AND(ISNUMBER(F10),F10&gt;8)</formula>
    </cfRule>
  </conditionalFormatting>
  <conditionalFormatting sqref="H10">
    <cfRule type="expression" dxfId="191" priority="99">
      <formula>AND(ISNUMBER(H10),H10&lt;=4)</formula>
    </cfRule>
  </conditionalFormatting>
  <conditionalFormatting sqref="H10">
    <cfRule type="expression" dxfId="190" priority="100">
      <formula>AND(ISNUMBER(H10),H10&gt;4,H10&lt;=8)</formula>
    </cfRule>
  </conditionalFormatting>
  <conditionalFormatting sqref="H10">
    <cfRule type="expression" dxfId="189" priority="101">
      <formula>AND(ISNUMBER(H10),H10&gt;8)</formula>
    </cfRule>
  </conditionalFormatting>
  <conditionalFormatting sqref="J10">
    <cfRule type="expression" dxfId="188" priority="102">
      <formula>AND(ISNUMBER(J10),J10&lt;=4)</formula>
    </cfRule>
  </conditionalFormatting>
  <conditionalFormatting sqref="J10">
    <cfRule type="expression" dxfId="187" priority="103">
      <formula>AND(ISNUMBER(J10),J10&gt;4,J10&lt;=8)</formula>
    </cfRule>
  </conditionalFormatting>
  <conditionalFormatting sqref="J10">
    <cfRule type="expression" dxfId="186" priority="104">
      <formula>AND(ISNUMBER(J10),J10&gt;8)</formula>
    </cfRule>
  </conditionalFormatting>
  <conditionalFormatting sqref="L10">
    <cfRule type="expression" dxfId="185" priority="105">
      <formula>AND(ISNUMBER(L10),L10&lt;=4)</formula>
    </cfRule>
  </conditionalFormatting>
  <conditionalFormatting sqref="L10">
    <cfRule type="expression" dxfId="184" priority="106">
      <formula>AND(ISNUMBER(L10),L10&gt;4,L10&lt;=8)</formula>
    </cfRule>
  </conditionalFormatting>
  <conditionalFormatting sqref="L10">
    <cfRule type="expression" dxfId="183" priority="107">
      <formula>AND(ISNUMBER(L10),L10&gt;8)</formula>
    </cfRule>
  </conditionalFormatting>
  <conditionalFormatting sqref="N10">
    <cfRule type="expression" dxfId="182" priority="108">
      <formula>AND(ISNUMBER(N10),N10&lt;=4)</formula>
    </cfRule>
  </conditionalFormatting>
  <conditionalFormatting sqref="N10">
    <cfRule type="expression" dxfId="181" priority="109">
      <formula>AND(ISNUMBER(N10),N10&gt;4,N10&lt;=8)</formula>
    </cfRule>
  </conditionalFormatting>
  <conditionalFormatting sqref="N10">
    <cfRule type="expression" dxfId="180" priority="110">
      <formula>AND(ISNUMBER(N10),N10&gt;8)</formula>
    </cfRule>
  </conditionalFormatting>
  <conditionalFormatting sqref="D11">
    <cfRule type="expression" dxfId="179" priority="111">
      <formula>AND(ISNUMBER(D11),D11&lt;=5)</formula>
    </cfRule>
  </conditionalFormatting>
  <conditionalFormatting sqref="D11">
    <cfRule type="expression" dxfId="178" priority="112">
      <formula>AND(ISNUMBER(D11),D11&gt;5,D11&lt;=10)</formula>
    </cfRule>
  </conditionalFormatting>
  <conditionalFormatting sqref="D11">
    <cfRule type="expression" dxfId="177" priority="113">
      <formula>AND(ISNUMBER(D11),D11&gt;10)</formula>
    </cfRule>
  </conditionalFormatting>
  <conditionalFormatting sqref="F11">
    <cfRule type="expression" dxfId="176" priority="114">
      <formula>AND(ISNUMBER(F11),F11&lt;=5)</formula>
    </cfRule>
  </conditionalFormatting>
  <conditionalFormatting sqref="F11">
    <cfRule type="expression" dxfId="175" priority="115">
      <formula>AND(ISNUMBER(F11),F11&gt;5,F11&lt;=10)</formula>
    </cfRule>
  </conditionalFormatting>
  <conditionalFormatting sqref="F11">
    <cfRule type="expression" dxfId="174" priority="116">
      <formula>AND(ISNUMBER(F11),F11&gt;10)</formula>
    </cfRule>
  </conditionalFormatting>
  <conditionalFormatting sqref="H11">
    <cfRule type="expression" dxfId="173" priority="117">
      <formula>AND(ISNUMBER(H11),H11&lt;=5)</formula>
    </cfRule>
  </conditionalFormatting>
  <conditionalFormatting sqref="H11">
    <cfRule type="expression" dxfId="172" priority="118">
      <formula>AND(ISNUMBER(H11),H11&gt;5,H11&lt;=10)</formula>
    </cfRule>
  </conditionalFormatting>
  <conditionalFormatting sqref="H11">
    <cfRule type="expression" dxfId="171" priority="119">
      <formula>AND(ISNUMBER(H11),H11&gt;10)</formula>
    </cfRule>
  </conditionalFormatting>
  <conditionalFormatting sqref="J11">
    <cfRule type="expression" dxfId="170" priority="120">
      <formula>AND(ISNUMBER(J11),J11&lt;=5)</formula>
    </cfRule>
  </conditionalFormatting>
  <conditionalFormatting sqref="J11">
    <cfRule type="expression" dxfId="169" priority="121">
      <formula>AND(ISNUMBER(J11),J11&gt;5,J11&lt;=10)</formula>
    </cfRule>
  </conditionalFormatting>
  <conditionalFormatting sqref="J11">
    <cfRule type="expression" dxfId="168" priority="122">
      <formula>AND(ISNUMBER(J11),J11&gt;10)</formula>
    </cfRule>
  </conditionalFormatting>
  <conditionalFormatting sqref="L11">
    <cfRule type="expression" dxfId="167" priority="123">
      <formula>AND(ISNUMBER(L11),L11&lt;=5)</formula>
    </cfRule>
  </conditionalFormatting>
  <conditionalFormatting sqref="L11">
    <cfRule type="expression" dxfId="166" priority="124">
      <formula>AND(ISNUMBER(L11),L11&gt;5,L11&lt;=10)</formula>
    </cfRule>
  </conditionalFormatting>
  <conditionalFormatting sqref="L11">
    <cfRule type="expression" dxfId="165" priority="125">
      <formula>AND(ISNUMBER(L11),L11&gt;10)</formula>
    </cfRule>
  </conditionalFormatting>
  <conditionalFormatting sqref="N11">
    <cfRule type="expression" dxfId="164" priority="126">
      <formula>AND(ISNUMBER(N11),N11&lt;=5)</formula>
    </cfRule>
  </conditionalFormatting>
  <conditionalFormatting sqref="N11">
    <cfRule type="expression" dxfId="163" priority="127">
      <formula>AND(ISNUMBER(N11),N11&gt;5,N11&lt;=10)</formula>
    </cfRule>
  </conditionalFormatting>
  <conditionalFormatting sqref="N11">
    <cfRule type="expression" dxfId="162" priority="128">
      <formula>AND(ISNUMBER(N11),N11&gt;10)</formula>
    </cfRule>
  </conditionalFormatting>
  <conditionalFormatting sqref="D13">
    <cfRule type="expression" dxfId="161" priority="129">
      <formula>AND(ISNUMBER(D13),D13&lt;=5)</formula>
    </cfRule>
  </conditionalFormatting>
  <conditionalFormatting sqref="D13">
    <cfRule type="expression" dxfId="160" priority="130">
      <formula>AND(ISNUMBER(D13),D13&gt;5,D13&lt;=7)</formula>
    </cfRule>
  </conditionalFormatting>
  <conditionalFormatting sqref="D13">
    <cfRule type="expression" dxfId="159" priority="131">
      <formula>AND(ISNUMBER(D13),D13&gt;7)</formula>
    </cfRule>
  </conditionalFormatting>
  <conditionalFormatting sqref="F13">
    <cfRule type="expression" dxfId="158" priority="132">
      <formula>AND(ISNUMBER(F13),F13&lt;=5)</formula>
    </cfRule>
  </conditionalFormatting>
  <conditionalFormatting sqref="F13">
    <cfRule type="expression" dxfId="157" priority="133">
      <formula>AND(ISNUMBER(F13),F13&gt;5,F13&lt;=7)</formula>
    </cfRule>
  </conditionalFormatting>
  <conditionalFormatting sqref="F13">
    <cfRule type="expression" dxfId="156" priority="134">
      <formula>AND(ISNUMBER(F13),F13&gt;7)</formula>
    </cfRule>
  </conditionalFormatting>
  <conditionalFormatting sqref="H13">
    <cfRule type="expression" dxfId="155" priority="135">
      <formula>AND(ISNUMBER(H13),H13&lt;=5)</formula>
    </cfRule>
  </conditionalFormatting>
  <conditionalFormatting sqref="H13">
    <cfRule type="expression" dxfId="154" priority="136">
      <formula>AND(ISNUMBER(H13),H13&gt;5,H13&lt;=7)</formula>
    </cfRule>
  </conditionalFormatting>
  <conditionalFormatting sqref="H13">
    <cfRule type="expression" dxfId="153" priority="137">
      <formula>AND(ISNUMBER(H13),H13&gt;7)</formula>
    </cfRule>
  </conditionalFormatting>
  <conditionalFormatting sqref="J13">
    <cfRule type="expression" dxfId="152" priority="138">
      <formula>AND(ISNUMBER(J13),J13&lt;=5)</formula>
    </cfRule>
  </conditionalFormatting>
  <conditionalFormatting sqref="J13">
    <cfRule type="expression" dxfId="151" priority="139">
      <formula>AND(ISNUMBER(J13),J13&gt;5,J13&lt;=7)</formula>
    </cfRule>
  </conditionalFormatting>
  <conditionalFormatting sqref="J13">
    <cfRule type="expression" dxfId="150" priority="140">
      <formula>AND(ISNUMBER(J13),J13&gt;7)</formula>
    </cfRule>
  </conditionalFormatting>
  <conditionalFormatting sqref="L13">
    <cfRule type="expression" dxfId="149" priority="141">
      <formula>AND(ISNUMBER(L13),L13&lt;=5)</formula>
    </cfRule>
  </conditionalFormatting>
  <conditionalFormatting sqref="L13">
    <cfRule type="expression" dxfId="148" priority="142">
      <formula>AND(ISNUMBER(L13),L13&gt;5,L13&lt;=7)</formula>
    </cfRule>
  </conditionalFormatting>
  <conditionalFormatting sqref="L13">
    <cfRule type="expression" dxfId="147" priority="143">
      <formula>AND(ISNUMBER(L13),L13&gt;7)</formula>
    </cfRule>
  </conditionalFormatting>
  <conditionalFormatting sqref="N13">
    <cfRule type="expression" dxfId="146" priority="144">
      <formula>AND(ISNUMBER(N13),N13&lt;=5)</formula>
    </cfRule>
  </conditionalFormatting>
  <conditionalFormatting sqref="N13">
    <cfRule type="expression" dxfId="145" priority="145">
      <formula>AND(ISNUMBER(N13),N13&gt;5,N13&lt;=7)</formula>
    </cfRule>
  </conditionalFormatting>
  <conditionalFormatting sqref="N13">
    <cfRule type="expression" dxfId="144" priority="146">
      <formula>AND(ISNUMBER(N13),N13&gt;7)</formula>
    </cfRule>
  </conditionalFormatting>
  <conditionalFormatting sqref="D14">
    <cfRule type="expression" dxfId="143" priority="147">
      <formula>AND(ISNUMBER(D14),D14&gt;=50)</formula>
    </cfRule>
  </conditionalFormatting>
  <conditionalFormatting sqref="D14">
    <cfRule type="expression" dxfId="142" priority="148">
      <formula>AND(ISNUMBER(D14),D14&gt;=0,D14&lt;50)</formula>
    </cfRule>
  </conditionalFormatting>
  <conditionalFormatting sqref="D14">
    <cfRule type="expression" dxfId="141" priority="149">
      <formula>AND(ISNUMBER(D14),D14&lt;0)</formula>
    </cfRule>
  </conditionalFormatting>
  <conditionalFormatting sqref="F14">
    <cfRule type="expression" dxfId="140" priority="150">
      <formula>AND(ISNUMBER(F14),F14&gt;=50)</formula>
    </cfRule>
  </conditionalFormatting>
  <conditionalFormatting sqref="F14">
    <cfRule type="expression" dxfId="139" priority="151">
      <formula>AND(ISNUMBER(F14),F14&gt;=0,F14&lt;50)</formula>
    </cfRule>
  </conditionalFormatting>
  <conditionalFormatting sqref="F14">
    <cfRule type="expression" dxfId="138" priority="152">
      <formula>AND(ISNUMBER(F14),F14&lt;0)</formula>
    </cfRule>
  </conditionalFormatting>
  <conditionalFormatting sqref="H14">
    <cfRule type="expression" dxfId="137" priority="153">
      <formula>AND(ISNUMBER(H14),H14&gt;=50)</formula>
    </cfRule>
  </conditionalFormatting>
  <conditionalFormatting sqref="H14">
    <cfRule type="expression" dxfId="136" priority="154">
      <formula>AND(ISNUMBER(H14),H14&gt;=0,H14&lt;50)</formula>
    </cfRule>
  </conditionalFormatting>
  <conditionalFormatting sqref="H14">
    <cfRule type="expression" dxfId="135" priority="155">
      <formula>AND(ISNUMBER(H14),H14&lt;0)</formula>
    </cfRule>
  </conditionalFormatting>
  <conditionalFormatting sqref="J14">
    <cfRule type="expression" dxfId="134" priority="156">
      <formula>AND(ISNUMBER(J14),J14&gt;=50)</formula>
    </cfRule>
  </conditionalFormatting>
  <conditionalFormatting sqref="J14">
    <cfRule type="expression" dxfId="133" priority="157">
      <formula>AND(ISNUMBER(J14),J14&gt;=0,J14&lt;50)</formula>
    </cfRule>
  </conditionalFormatting>
  <conditionalFormatting sqref="J14">
    <cfRule type="expression" dxfId="132" priority="158">
      <formula>AND(ISNUMBER(J14),J14&lt;0)</formula>
    </cfRule>
  </conditionalFormatting>
  <conditionalFormatting sqref="L14">
    <cfRule type="expression" dxfId="131" priority="159">
      <formula>AND(ISNUMBER(L14),L14&gt;=50)</formula>
    </cfRule>
  </conditionalFormatting>
  <conditionalFormatting sqref="L14">
    <cfRule type="expression" dxfId="130" priority="160">
      <formula>AND(ISNUMBER(L14),L14&gt;=0,L14&lt;50)</formula>
    </cfRule>
  </conditionalFormatting>
  <conditionalFormatting sqref="L14">
    <cfRule type="expression" dxfId="129" priority="161">
      <formula>AND(ISNUMBER(L14),L14&lt;0)</formula>
    </cfRule>
  </conditionalFormatting>
  <conditionalFormatting sqref="N14">
    <cfRule type="expression" dxfId="128" priority="162">
      <formula>AND(ISNUMBER(N14),N14&gt;=50)</formula>
    </cfRule>
  </conditionalFormatting>
  <conditionalFormatting sqref="N14">
    <cfRule type="expression" dxfId="127" priority="163">
      <formula>AND(ISNUMBER(N14),N14&gt;=0,N14&lt;50)</formula>
    </cfRule>
  </conditionalFormatting>
  <conditionalFormatting sqref="N14">
    <cfRule type="expression" dxfId="126" priority="164">
      <formula>AND(ISNUMBER(N14),N14&lt;0)</formula>
    </cfRule>
  </conditionalFormatting>
  <conditionalFormatting sqref="D15">
    <cfRule type="expression" dxfId="125" priority="165">
      <formula>AND(ISNUMBER(D15),D15&lt;=5)</formula>
    </cfRule>
  </conditionalFormatting>
  <conditionalFormatting sqref="D15">
    <cfRule type="expression" dxfId="124" priority="166">
      <formula>AND(ISNUMBER(D15),D15&gt;5,D15&lt;=7)</formula>
    </cfRule>
  </conditionalFormatting>
  <conditionalFormatting sqref="D15">
    <cfRule type="expression" dxfId="123" priority="167">
      <formula>AND(ISNUMBER(D15),D15&gt;7)</formula>
    </cfRule>
  </conditionalFormatting>
  <conditionalFormatting sqref="F15">
    <cfRule type="expression" dxfId="122" priority="168">
      <formula>AND(ISNUMBER(F15),F15&lt;=5)</formula>
    </cfRule>
  </conditionalFormatting>
  <conditionalFormatting sqref="F15">
    <cfRule type="expression" dxfId="121" priority="169">
      <formula>AND(ISNUMBER(F15),F15&gt;5,F15&lt;=7)</formula>
    </cfRule>
  </conditionalFormatting>
  <conditionalFormatting sqref="F15">
    <cfRule type="expression" dxfId="120" priority="170">
      <formula>AND(ISNUMBER(F15),F15&gt;7)</formula>
    </cfRule>
  </conditionalFormatting>
  <conditionalFormatting sqref="H15">
    <cfRule type="expression" dxfId="119" priority="171">
      <formula>AND(ISNUMBER(H15),H15&lt;=5)</formula>
    </cfRule>
  </conditionalFormatting>
  <conditionalFormatting sqref="H15">
    <cfRule type="expression" dxfId="118" priority="172">
      <formula>AND(ISNUMBER(H15),H15&gt;5,H15&lt;=7)</formula>
    </cfRule>
  </conditionalFormatting>
  <conditionalFormatting sqref="H15">
    <cfRule type="expression" dxfId="117" priority="173">
      <formula>AND(ISNUMBER(H15),H15&gt;7)</formula>
    </cfRule>
  </conditionalFormatting>
  <conditionalFormatting sqref="J15">
    <cfRule type="expression" dxfId="116" priority="174">
      <formula>AND(ISNUMBER(J15),J15&lt;=5)</formula>
    </cfRule>
  </conditionalFormatting>
  <conditionalFormatting sqref="J15">
    <cfRule type="expression" dxfId="115" priority="175">
      <formula>AND(ISNUMBER(J15),J15&gt;5,J15&lt;=7)</formula>
    </cfRule>
  </conditionalFormatting>
  <conditionalFormatting sqref="J15">
    <cfRule type="expression" dxfId="114" priority="176">
      <formula>AND(ISNUMBER(J15),J15&gt;7)</formula>
    </cfRule>
  </conditionalFormatting>
  <conditionalFormatting sqref="L15">
    <cfRule type="expression" dxfId="113" priority="177">
      <formula>AND(ISNUMBER(L15),L15&lt;=5)</formula>
    </cfRule>
  </conditionalFormatting>
  <conditionalFormatting sqref="L15">
    <cfRule type="expression" dxfId="112" priority="178">
      <formula>AND(ISNUMBER(L15),L15&gt;5,L15&lt;=7)</formula>
    </cfRule>
  </conditionalFormatting>
  <conditionalFormatting sqref="L15">
    <cfRule type="expression" dxfId="111" priority="179">
      <formula>AND(ISNUMBER(L15),L15&gt;7)</formula>
    </cfRule>
  </conditionalFormatting>
  <conditionalFormatting sqref="N15">
    <cfRule type="expression" dxfId="110" priority="180">
      <formula>AND(ISNUMBER(N15),N15&lt;=5)</formula>
    </cfRule>
  </conditionalFormatting>
  <conditionalFormatting sqref="N15">
    <cfRule type="expression" dxfId="109" priority="181">
      <formula>AND(ISNUMBER(N15),N15&gt;5,N15&lt;=7)</formula>
    </cfRule>
  </conditionalFormatting>
  <conditionalFormatting sqref="N15">
    <cfRule type="expression" dxfId="108" priority="182">
      <formula>AND(ISNUMBER(N15),N15&gt;7)</formula>
    </cfRule>
  </conditionalFormatting>
  <conditionalFormatting sqref="D16">
    <cfRule type="expression" dxfId="107" priority="183">
      <formula>AND(ISNUMBER(D16),D16&gt;=2,D16&lt;=4)</formula>
    </cfRule>
  </conditionalFormatting>
  <conditionalFormatting sqref="D16">
    <cfRule type="expression" dxfId="106" priority="184">
      <formula>AND(ISNUMBER(D16),D16&gt;=0,D16&lt;2)</formula>
    </cfRule>
  </conditionalFormatting>
  <conditionalFormatting sqref="D16">
    <cfRule type="expression" dxfId="105" priority="185">
      <formula>AND(ISNUMBER(D16),D16&lt;0)</formula>
    </cfRule>
  </conditionalFormatting>
  <conditionalFormatting sqref="F16">
    <cfRule type="expression" dxfId="104" priority="186">
      <formula>AND(ISNUMBER(F16),F16&gt;=2,F16&lt;=4)</formula>
    </cfRule>
  </conditionalFormatting>
  <conditionalFormatting sqref="F16">
    <cfRule type="expression" dxfId="103" priority="187">
      <formula>AND(ISNUMBER(F16),F16&gt;=0,F16&lt;2)</formula>
    </cfRule>
  </conditionalFormatting>
  <conditionalFormatting sqref="F16">
    <cfRule type="expression" dxfId="102" priority="188">
      <formula>AND(ISNUMBER(F16),F16&lt;0)</formula>
    </cfRule>
  </conditionalFormatting>
  <conditionalFormatting sqref="H16">
    <cfRule type="expression" dxfId="101" priority="189">
      <formula>AND(ISNUMBER(H16),H16&gt;=2,H16&lt;=4)</formula>
    </cfRule>
  </conditionalFormatting>
  <conditionalFormatting sqref="H16">
    <cfRule type="expression" dxfId="100" priority="190">
      <formula>AND(ISNUMBER(H16),H16&gt;=0,H16&lt;2)</formula>
    </cfRule>
  </conditionalFormatting>
  <conditionalFormatting sqref="H16">
    <cfRule type="expression" dxfId="99" priority="191">
      <formula>AND(ISNUMBER(H16),H16&lt;0)</formula>
    </cfRule>
  </conditionalFormatting>
  <conditionalFormatting sqref="J16">
    <cfRule type="expression" dxfId="98" priority="192">
      <formula>AND(ISNUMBER(J16),J16&gt;=2,J16&lt;=4)</formula>
    </cfRule>
  </conditionalFormatting>
  <conditionalFormatting sqref="J16">
    <cfRule type="expression" dxfId="97" priority="193">
      <formula>AND(ISNUMBER(J16),J16&gt;=0,J16&lt;2)</formula>
    </cfRule>
  </conditionalFormatting>
  <conditionalFormatting sqref="J16">
    <cfRule type="expression" dxfId="96" priority="194">
      <formula>AND(ISNUMBER(J16),J16&lt;0)</formula>
    </cfRule>
  </conditionalFormatting>
  <conditionalFormatting sqref="L16">
    <cfRule type="expression" dxfId="95" priority="195">
      <formula>AND(ISNUMBER(L16),L16&gt;=2,L16&lt;=4)</formula>
    </cfRule>
  </conditionalFormatting>
  <conditionalFormatting sqref="L16">
    <cfRule type="expression" dxfId="94" priority="196">
      <formula>AND(ISNUMBER(L16),L16&gt;=0,L16&lt;2)</formula>
    </cfRule>
  </conditionalFormatting>
  <conditionalFormatting sqref="L16">
    <cfRule type="expression" dxfId="93" priority="197">
      <formula>AND(ISNUMBER(L16),L16&lt;0)</formula>
    </cfRule>
  </conditionalFormatting>
  <conditionalFormatting sqref="N16">
    <cfRule type="expression" dxfId="92" priority="198">
      <formula>AND(ISNUMBER(N16),N16&gt;=2,N16&lt;=4)</formula>
    </cfRule>
  </conditionalFormatting>
  <conditionalFormatting sqref="N16">
    <cfRule type="expression" dxfId="91" priority="199">
      <formula>AND(ISNUMBER(N16),N16&gt;=0,N16&lt;2)</formula>
    </cfRule>
  </conditionalFormatting>
  <conditionalFormatting sqref="N16">
    <cfRule type="expression" dxfId="90" priority="200">
      <formula>AND(ISNUMBER(N16),N16&lt;0)</formula>
    </cfRule>
  </conditionalFormatting>
  <conditionalFormatting sqref="D17">
    <cfRule type="expression" dxfId="89" priority="201">
      <formula>AND(ISNUMBER(D17),D17&gt;=1)</formula>
    </cfRule>
  </conditionalFormatting>
  <conditionalFormatting sqref="D17">
    <cfRule type="expression" dxfId="88" priority="202">
      <formula>AND(ISNUMBER(D17),D17&gt;=-1,D17&lt;1)</formula>
    </cfRule>
  </conditionalFormatting>
  <conditionalFormatting sqref="D17">
    <cfRule type="expression" dxfId="87" priority="203">
      <formula>AND(ISNUMBER(D17),D17&lt;-1)</formula>
    </cfRule>
  </conditionalFormatting>
  <conditionalFormatting sqref="F17">
    <cfRule type="expression" dxfId="86" priority="204">
      <formula>AND(ISNUMBER(F17),F17&gt;=1)</formula>
    </cfRule>
  </conditionalFormatting>
  <conditionalFormatting sqref="F17">
    <cfRule type="expression" dxfId="85" priority="205">
      <formula>AND(ISNUMBER(F17),F17&gt;=-1,F17&lt;1)</formula>
    </cfRule>
  </conditionalFormatting>
  <conditionalFormatting sqref="F17">
    <cfRule type="expression" dxfId="84" priority="206">
      <formula>AND(ISNUMBER(F17),F17&lt;-1)</formula>
    </cfRule>
  </conditionalFormatting>
  <conditionalFormatting sqref="H17">
    <cfRule type="expression" dxfId="83" priority="207">
      <formula>AND(ISNUMBER(H17),H17&gt;=1)</formula>
    </cfRule>
  </conditionalFormatting>
  <conditionalFormatting sqref="H17">
    <cfRule type="expression" dxfId="82" priority="208">
      <formula>AND(ISNUMBER(H17),H17&gt;=-1,H17&lt;1)</formula>
    </cfRule>
  </conditionalFormatting>
  <conditionalFormatting sqref="H17">
    <cfRule type="expression" dxfId="81" priority="209">
      <formula>AND(ISNUMBER(H17),H17&lt;-1)</formula>
    </cfRule>
  </conditionalFormatting>
  <conditionalFormatting sqref="J17">
    <cfRule type="expression" dxfId="80" priority="210">
      <formula>AND(ISNUMBER(J17),J17&gt;=1)</formula>
    </cfRule>
  </conditionalFormatting>
  <conditionalFormatting sqref="J17">
    <cfRule type="expression" dxfId="79" priority="211">
      <formula>AND(ISNUMBER(J17),J17&gt;=-1,J17&lt;1)</formula>
    </cfRule>
  </conditionalFormatting>
  <conditionalFormatting sqref="J17">
    <cfRule type="expression" dxfId="78" priority="212">
      <formula>AND(ISNUMBER(J17),J17&lt;-1)</formula>
    </cfRule>
  </conditionalFormatting>
  <conditionalFormatting sqref="L17">
    <cfRule type="expression" dxfId="77" priority="213">
      <formula>AND(ISNUMBER(L17),L17&gt;=1)</formula>
    </cfRule>
  </conditionalFormatting>
  <conditionalFormatting sqref="L17">
    <cfRule type="expression" dxfId="76" priority="214">
      <formula>AND(ISNUMBER(L17),L17&gt;=-1,L17&lt;1)</formula>
    </cfRule>
  </conditionalFormatting>
  <conditionalFormatting sqref="L17">
    <cfRule type="expression" dxfId="75" priority="215">
      <formula>AND(ISNUMBER(L17),L17&lt;-1)</formula>
    </cfRule>
  </conditionalFormatting>
  <conditionalFormatting sqref="N17">
    <cfRule type="expression" dxfId="74" priority="216">
      <formula>AND(ISNUMBER(N17),N17&gt;=1)</formula>
    </cfRule>
  </conditionalFormatting>
  <conditionalFormatting sqref="N17">
    <cfRule type="expression" dxfId="73" priority="217">
      <formula>AND(ISNUMBER(N17),N17&gt;=-1,N17&lt;1)</formula>
    </cfRule>
  </conditionalFormatting>
  <conditionalFormatting sqref="N17">
    <cfRule type="expression" dxfId="72" priority="218">
      <formula>AND(ISNUMBER(N17),N17&lt;-1)</formula>
    </cfRule>
  </conditionalFormatting>
  <conditionalFormatting sqref="D18">
    <cfRule type="expression" dxfId="71" priority="219">
      <formula>AND(ISNUMBER(D18),D18&gt;=0)</formula>
    </cfRule>
  </conditionalFormatting>
  <conditionalFormatting sqref="D18">
    <cfRule type="expression" dxfId="70" priority="220">
      <formula>AND(ISNUMBER(D18),D18&gt;=-1,D18&lt;0)</formula>
    </cfRule>
  </conditionalFormatting>
  <conditionalFormatting sqref="D18">
    <cfRule type="expression" dxfId="69" priority="221">
      <formula>AND(ISNUMBER(D18),D18&lt;-1)</formula>
    </cfRule>
  </conditionalFormatting>
  <conditionalFormatting sqref="F18">
    <cfRule type="expression" dxfId="68" priority="222">
      <formula>AND(ISNUMBER(F18),F18&gt;=0)</formula>
    </cfRule>
  </conditionalFormatting>
  <conditionalFormatting sqref="F18">
    <cfRule type="expression" dxfId="67" priority="223">
      <formula>AND(ISNUMBER(F18),F18&gt;=-1,F18&lt;0)</formula>
    </cfRule>
  </conditionalFormatting>
  <conditionalFormatting sqref="F18">
    <cfRule type="expression" dxfId="66" priority="224">
      <formula>AND(ISNUMBER(F18),F18&lt;-1)</formula>
    </cfRule>
  </conditionalFormatting>
  <conditionalFormatting sqref="H18">
    <cfRule type="expression" dxfId="65" priority="225">
      <formula>AND(ISNUMBER(H18),H18&gt;=0)</formula>
    </cfRule>
  </conditionalFormatting>
  <conditionalFormatting sqref="H18">
    <cfRule type="expression" dxfId="64" priority="226">
      <formula>AND(ISNUMBER(H18),H18&gt;=-1,H18&lt;0)</formula>
    </cfRule>
  </conditionalFormatting>
  <conditionalFormatting sqref="H18">
    <cfRule type="expression" dxfId="63" priority="227">
      <formula>AND(ISNUMBER(H18),H18&lt;-1)</formula>
    </cfRule>
  </conditionalFormatting>
  <conditionalFormatting sqref="J18">
    <cfRule type="expression" dxfId="62" priority="228">
      <formula>AND(ISNUMBER(J18),J18&gt;=0)</formula>
    </cfRule>
  </conditionalFormatting>
  <conditionalFormatting sqref="J18">
    <cfRule type="expression" dxfId="61" priority="229">
      <formula>AND(ISNUMBER(J18),J18&gt;=-1,J18&lt;0)</formula>
    </cfRule>
  </conditionalFormatting>
  <conditionalFormatting sqref="J18">
    <cfRule type="expression" dxfId="60" priority="230">
      <formula>AND(ISNUMBER(J18),J18&lt;-1)</formula>
    </cfRule>
  </conditionalFormatting>
  <conditionalFormatting sqref="L18">
    <cfRule type="expression" dxfId="59" priority="231">
      <formula>AND(ISNUMBER(L18),L18&gt;=0)</formula>
    </cfRule>
  </conditionalFormatting>
  <conditionalFormatting sqref="L18">
    <cfRule type="expression" dxfId="58" priority="232">
      <formula>AND(ISNUMBER(L18),L18&gt;=-1,L18&lt;0)</formula>
    </cfRule>
  </conditionalFormatting>
  <conditionalFormatting sqref="L18">
    <cfRule type="expression" dxfId="57" priority="233">
      <formula>AND(ISNUMBER(L18),L18&lt;-1)</formula>
    </cfRule>
  </conditionalFormatting>
  <conditionalFormatting sqref="N18">
    <cfRule type="expression" dxfId="56" priority="234">
      <formula>AND(ISNUMBER(N18),N18&gt;=0)</formula>
    </cfRule>
  </conditionalFormatting>
  <conditionalFormatting sqref="N18">
    <cfRule type="expression" dxfId="55" priority="235">
      <formula>AND(ISNUMBER(N18),N18&gt;=-1,N18&lt;0)</formula>
    </cfRule>
  </conditionalFormatting>
  <conditionalFormatting sqref="N18">
    <cfRule type="expression" dxfId="54" priority="236">
      <formula>AND(ISNUMBER(N18),N18&lt;-1)</formula>
    </cfRule>
  </conditionalFormatting>
  <conditionalFormatting sqref="D19">
    <cfRule type="expression" dxfId="53" priority="237">
      <formula>AND(ISNUMBER(D19),D19&lt;=300)</formula>
    </cfRule>
  </conditionalFormatting>
  <conditionalFormatting sqref="D19">
    <cfRule type="expression" dxfId="52" priority="238">
      <formula>AND(ISNUMBER(D19),D19&gt;300,D19&lt;=600)</formula>
    </cfRule>
  </conditionalFormatting>
  <conditionalFormatting sqref="D19">
    <cfRule type="expression" dxfId="51" priority="239">
      <formula>AND(ISNUMBER(D19),D19&gt;600)</formula>
    </cfRule>
  </conditionalFormatting>
  <conditionalFormatting sqref="F19">
    <cfRule type="expression" dxfId="50" priority="240">
      <formula>AND(ISNUMBER(F19),F19&lt;=300)</formula>
    </cfRule>
  </conditionalFormatting>
  <conditionalFormatting sqref="F19">
    <cfRule type="expression" dxfId="49" priority="241">
      <formula>AND(ISNUMBER(F19),F19&gt;300,F19&lt;=600)</formula>
    </cfRule>
  </conditionalFormatting>
  <conditionalFormatting sqref="F19">
    <cfRule type="expression" dxfId="48" priority="242">
      <formula>AND(ISNUMBER(F19),F19&gt;600)</formula>
    </cfRule>
  </conditionalFormatting>
  <conditionalFormatting sqref="H19">
    <cfRule type="expression" dxfId="47" priority="243">
      <formula>AND(ISNUMBER(H19),H19&lt;=300)</formula>
    </cfRule>
  </conditionalFormatting>
  <conditionalFormatting sqref="H19">
    <cfRule type="expression" dxfId="46" priority="244">
      <formula>AND(ISNUMBER(H19),H19&gt;300,H19&lt;=600)</formula>
    </cfRule>
  </conditionalFormatting>
  <conditionalFormatting sqref="H19">
    <cfRule type="expression" dxfId="45" priority="245">
      <formula>AND(ISNUMBER(H19),H19&gt;600)</formula>
    </cfRule>
  </conditionalFormatting>
  <conditionalFormatting sqref="J19">
    <cfRule type="expression" dxfId="44" priority="246">
      <formula>AND(ISNUMBER(J19),J19&lt;=300)</formula>
    </cfRule>
  </conditionalFormatting>
  <conditionalFormatting sqref="J19">
    <cfRule type="expression" dxfId="43" priority="247">
      <formula>AND(ISNUMBER(J19),J19&gt;300,J19&lt;=600)</formula>
    </cfRule>
  </conditionalFormatting>
  <conditionalFormatting sqref="J19">
    <cfRule type="expression" dxfId="42" priority="248">
      <formula>AND(ISNUMBER(J19),J19&gt;600)</formula>
    </cfRule>
  </conditionalFormatting>
  <conditionalFormatting sqref="L19">
    <cfRule type="expression" dxfId="41" priority="249">
      <formula>AND(ISNUMBER(L19),L19&lt;=300)</formula>
    </cfRule>
  </conditionalFormatting>
  <conditionalFormatting sqref="L19">
    <cfRule type="expression" dxfId="40" priority="250">
      <formula>AND(ISNUMBER(L19),L19&gt;300,L19&lt;=600)</formula>
    </cfRule>
  </conditionalFormatting>
  <conditionalFormatting sqref="L19">
    <cfRule type="expression" dxfId="39" priority="251">
      <formula>AND(ISNUMBER(L19),L19&gt;600)</formula>
    </cfRule>
  </conditionalFormatting>
  <conditionalFormatting sqref="N19">
    <cfRule type="expression" dxfId="38" priority="252">
      <formula>AND(ISNUMBER(N19),N19&lt;=300)</formula>
    </cfRule>
  </conditionalFormatting>
  <conditionalFormatting sqref="N19">
    <cfRule type="expression" dxfId="37" priority="253">
      <formula>AND(ISNUMBER(N19),N19&gt;300,N19&lt;=600)</formula>
    </cfRule>
  </conditionalFormatting>
  <conditionalFormatting sqref="N19">
    <cfRule type="expression" dxfId="36" priority="254">
      <formula>AND(ISNUMBER(N19),N19&gt;600)</formula>
    </cfRule>
  </conditionalFormatting>
  <conditionalFormatting sqref="D20">
    <cfRule type="expression" dxfId="35" priority="255">
      <formula>AND(ISNUMBER(D20),D20&gt;=0)</formula>
    </cfRule>
  </conditionalFormatting>
  <conditionalFormatting sqref="D20">
    <cfRule type="expression" dxfId="34" priority="256">
      <formula>AND(ISNUMBER(D20),D20&gt;=-5,D20&lt;0)</formula>
    </cfRule>
  </conditionalFormatting>
  <conditionalFormatting sqref="D20">
    <cfRule type="expression" dxfId="33" priority="257">
      <formula>AND(ISNUMBER(D20),D20&lt;-5)</formula>
    </cfRule>
  </conditionalFormatting>
  <conditionalFormatting sqref="F20">
    <cfRule type="expression" dxfId="32" priority="258">
      <formula>AND(ISNUMBER(F20),F20&gt;=0)</formula>
    </cfRule>
  </conditionalFormatting>
  <conditionalFormatting sqref="F20">
    <cfRule type="expression" dxfId="31" priority="259">
      <formula>AND(ISNUMBER(F20),F20&gt;=-5,F20&lt;0)</formula>
    </cfRule>
  </conditionalFormatting>
  <conditionalFormatting sqref="F20">
    <cfRule type="expression" dxfId="30" priority="260">
      <formula>AND(ISNUMBER(F20),F20&lt;-5)</formula>
    </cfRule>
  </conditionalFormatting>
  <conditionalFormatting sqref="H20">
    <cfRule type="expression" dxfId="29" priority="261">
      <formula>AND(ISNUMBER(H20),H20&gt;=0)</formula>
    </cfRule>
  </conditionalFormatting>
  <conditionalFormatting sqref="H20">
    <cfRule type="expression" dxfId="28" priority="262">
      <formula>AND(ISNUMBER(H20),H20&gt;=-5,H20&lt;0)</formula>
    </cfRule>
  </conditionalFormatting>
  <conditionalFormatting sqref="H20">
    <cfRule type="expression" dxfId="27" priority="263">
      <formula>AND(ISNUMBER(H20),H20&lt;-5)</formula>
    </cfRule>
  </conditionalFormatting>
  <conditionalFormatting sqref="J20">
    <cfRule type="expression" dxfId="26" priority="264">
      <formula>AND(ISNUMBER(J20),J20&gt;=0)</formula>
    </cfRule>
  </conditionalFormatting>
  <conditionalFormatting sqref="J20">
    <cfRule type="expression" dxfId="25" priority="265">
      <formula>AND(ISNUMBER(J20),J20&gt;=-5,J20&lt;0)</formula>
    </cfRule>
  </conditionalFormatting>
  <conditionalFormatting sqref="J20">
    <cfRule type="expression" dxfId="24" priority="266">
      <formula>AND(ISNUMBER(J20),J20&lt;-5)</formula>
    </cfRule>
  </conditionalFormatting>
  <conditionalFormatting sqref="L20">
    <cfRule type="expression" dxfId="23" priority="267">
      <formula>AND(ISNUMBER(L20),L20&gt;=0)</formula>
    </cfRule>
  </conditionalFormatting>
  <conditionalFormatting sqref="L20">
    <cfRule type="expression" dxfId="22" priority="268">
      <formula>AND(ISNUMBER(L20),L20&gt;=-5,L20&lt;0)</formula>
    </cfRule>
  </conditionalFormatting>
  <conditionalFormatting sqref="L20">
    <cfRule type="expression" dxfId="21" priority="269">
      <formula>AND(ISNUMBER(L20),L20&lt;-5)</formula>
    </cfRule>
  </conditionalFormatting>
  <conditionalFormatting sqref="N20">
    <cfRule type="expression" dxfId="20" priority="270">
      <formula>AND(ISNUMBER(N20),N20&gt;=0)</formula>
    </cfRule>
  </conditionalFormatting>
  <conditionalFormatting sqref="N20">
    <cfRule type="expression" dxfId="19" priority="271">
      <formula>AND(ISNUMBER(N20),N20&gt;=-5,N20&lt;0)</formula>
    </cfRule>
  </conditionalFormatting>
  <conditionalFormatting sqref="N20">
    <cfRule type="expression" dxfId="18" priority="272">
      <formula>AND(ISNUMBER(N20),N20&lt;-5)</formula>
    </cfRule>
  </conditionalFormatting>
  <conditionalFormatting sqref="D23">
    <cfRule type="expression" dxfId="17" priority="273">
      <formula>AND(ISNUMBER(D23),D23&lt;=80)</formula>
    </cfRule>
  </conditionalFormatting>
  <conditionalFormatting sqref="D23">
    <cfRule type="expression" dxfId="16" priority="274">
      <formula>AND(ISNUMBER(D23),D23&gt;80,D23&lt;=100)</formula>
    </cfRule>
  </conditionalFormatting>
  <conditionalFormatting sqref="D23">
    <cfRule type="expression" dxfId="15" priority="275">
      <formula>AND(ISNUMBER(D23),D23&gt;100)</formula>
    </cfRule>
  </conditionalFormatting>
  <conditionalFormatting sqref="F23">
    <cfRule type="expression" dxfId="14" priority="276">
      <formula>AND(ISNUMBER(F23),F23&lt;=80)</formula>
    </cfRule>
  </conditionalFormatting>
  <conditionalFormatting sqref="F23">
    <cfRule type="expression" dxfId="13" priority="277">
      <formula>AND(ISNUMBER(F23),F23&gt;80,F23&lt;=100)</formula>
    </cfRule>
  </conditionalFormatting>
  <conditionalFormatting sqref="F23">
    <cfRule type="expression" dxfId="12" priority="278">
      <formula>AND(ISNUMBER(F23),F23&gt;100)</formula>
    </cfRule>
  </conditionalFormatting>
  <conditionalFormatting sqref="H23">
    <cfRule type="expression" dxfId="11" priority="279">
      <formula>AND(ISNUMBER(H23),H23&lt;=80)</formula>
    </cfRule>
  </conditionalFormatting>
  <conditionalFormatting sqref="H23">
    <cfRule type="expression" dxfId="10" priority="280">
      <formula>AND(ISNUMBER(H23),H23&gt;80,H23&lt;=100)</formula>
    </cfRule>
  </conditionalFormatting>
  <conditionalFormatting sqref="H23">
    <cfRule type="expression" dxfId="9" priority="281">
      <formula>AND(ISNUMBER(H23),H23&gt;100)</formula>
    </cfRule>
  </conditionalFormatting>
  <conditionalFormatting sqref="J23">
    <cfRule type="expression" dxfId="8" priority="282">
      <formula>AND(ISNUMBER(J23),J23&lt;=80)</formula>
    </cfRule>
  </conditionalFormatting>
  <conditionalFormatting sqref="J23">
    <cfRule type="expression" dxfId="7" priority="283">
      <formula>AND(ISNUMBER(J23),J23&gt;80,J23&lt;=100)</formula>
    </cfRule>
  </conditionalFormatting>
  <conditionalFormatting sqref="J23">
    <cfRule type="expression" dxfId="6" priority="284">
      <formula>AND(ISNUMBER(J23),J23&gt;100)</formula>
    </cfRule>
  </conditionalFormatting>
  <conditionalFormatting sqref="L23">
    <cfRule type="expression" dxfId="5" priority="285">
      <formula>AND(ISNUMBER(L23),L23&lt;=80)</formula>
    </cfRule>
  </conditionalFormatting>
  <conditionalFormatting sqref="L23">
    <cfRule type="expression" dxfId="4" priority="286">
      <formula>AND(ISNUMBER(L23),L23&gt;80,L23&lt;=100)</formula>
    </cfRule>
  </conditionalFormatting>
  <conditionalFormatting sqref="L23">
    <cfRule type="expression" dxfId="3" priority="287">
      <formula>AND(ISNUMBER(L23),L23&gt;100)</formula>
    </cfRule>
  </conditionalFormatting>
  <conditionalFormatting sqref="N23">
    <cfRule type="expression" dxfId="2" priority="288">
      <formula>AND(ISNUMBER(N23),N23&lt;=80)</formula>
    </cfRule>
  </conditionalFormatting>
  <conditionalFormatting sqref="N23">
    <cfRule type="expression" dxfId="1" priority="289">
      <formula>AND(ISNUMBER(N23),N23&gt;80,N23&lt;=100)</formula>
    </cfRule>
  </conditionalFormatting>
  <conditionalFormatting sqref="N23">
    <cfRule type="expression" dxfId="0" priority="290">
      <formula>AND(ISNUMBER(N23),N23&gt;100)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DC28A-A0D5-BE45-A105-0A60EAE79388}">
  <sheetPr>
    <tabColor rgb="FF2E75B6"/>
  </sheetPr>
  <dimension ref="A1:Q23"/>
  <sheetViews>
    <sheetView zoomScale="75" workbookViewId="0">
      <selection activeCell="B33" sqref="B33"/>
    </sheetView>
  </sheetViews>
  <sheetFormatPr defaultColWidth="11" defaultRowHeight="15.95"/>
  <cols>
    <col min="1" max="1" width="6.625" customWidth="1"/>
    <col min="2" max="2" width="29.125" customWidth="1"/>
    <col min="4" max="4" width="15" customWidth="1"/>
    <col min="5" max="5" width="12.5" customWidth="1"/>
    <col min="6" max="6" width="15" customWidth="1"/>
    <col min="7" max="7" width="12.5" customWidth="1"/>
    <col min="8" max="8" width="15" customWidth="1"/>
    <col min="9" max="9" width="12.5" customWidth="1"/>
    <col min="10" max="10" width="15" customWidth="1"/>
    <col min="11" max="11" width="12.5" customWidth="1"/>
    <col min="12" max="12" width="15" customWidth="1"/>
    <col min="13" max="13" width="12.5" customWidth="1"/>
    <col min="14" max="14" width="15" customWidth="1"/>
    <col min="15" max="15" width="12.5" customWidth="1"/>
    <col min="16" max="16" width="16.625" customWidth="1"/>
    <col min="17" max="17" width="13.375" customWidth="1"/>
  </cols>
  <sheetData>
    <row r="1" spans="1:17" ht="27.95" customHeight="1">
      <c r="A1" s="101" t="s">
        <v>68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</row>
    <row r="2" spans="1:17" ht="18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</row>
    <row r="4" spans="1:17" ht="21.95" customHeight="1">
      <c r="A4" s="35" t="s">
        <v>69</v>
      </c>
      <c r="B4" s="34" t="s">
        <v>6</v>
      </c>
      <c r="C4" s="35" t="s">
        <v>7</v>
      </c>
      <c r="D4" s="36" t="s">
        <v>70</v>
      </c>
      <c r="E4" s="37" t="s">
        <v>71</v>
      </c>
      <c r="F4" s="36" t="s">
        <v>72</v>
      </c>
      <c r="G4" s="37" t="s">
        <v>73</v>
      </c>
      <c r="H4" s="36" t="s">
        <v>74</v>
      </c>
      <c r="I4" s="37" t="s">
        <v>75</v>
      </c>
      <c r="J4" s="36" t="s">
        <v>76</v>
      </c>
      <c r="K4" s="37" t="s">
        <v>77</v>
      </c>
      <c r="L4" s="36" t="s">
        <v>78</v>
      </c>
      <c r="M4" s="37" t="s">
        <v>79</v>
      </c>
      <c r="N4" s="36" t="s">
        <v>80</v>
      </c>
      <c r="O4" s="37" t="s">
        <v>81</v>
      </c>
      <c r="P4" s="35" t="s">
        <v>82</v>
      </c>
      <c r="Q4" s="35" t="s">
        <v>83</v>
      </c>
    </row>
    <row r="5" spans="1:17" ht="21.95" customHeight="1">
      <c r="A5" s="4" t="s">
        <v>84</v>
      </c>
      <c r="B5" s="3" t="s">
        <v>18</v>
      </c>
      <c r="C5" s="4" t="s">
        <v>19</v>
      </c>
      <c r="D5" s="90"/>
      <c r="E5" s="91"/>
      <c r="F5" s="90"/>
      <c r="G5" s="91"/>
      <c r="H5" s="90"/>
      <c r="I5" s="91"/>
      <c r="J5" s="90"/>
      <c r="K5" s="91"/>
      <c r="L5" s="90"/>
      <c r="M5" s="91"/>
      <c r="N5" s="90"/>
      <c r="O5" s="91"/>
      <c r="P5" s="2" t="s">
        <v>85</v>
      </c>
    </row>
    <row r="6" spans="1:17" ht="21.95" customHeight="1">
      <c r="A6" s="4" t="s">
        <v>86</v>
      </c>
      <c r="B6" s="3" t="s">
        <v>20</v>
      </c>
      <c r="C6" s="4" t="s">
        <v>21</v>
      </c>
      <c r="D6" s="90"/>
      <c r="E6" s="91"/>
      <c r="F6" s="90"/>
      <c r="G6" s="91"/>
      <c r="H6" s="90"/>
      <c r="I6" s="91"/>
      <c r="J6" s="90"/>
      <c r="K6" s="91"/>
      <c r="L6" s="90"/>
      <c r="M6" s="91"/>
      <c r="N6" s="90"/>
      <c r="O6" s="91"/>
      <c r="P6" s="2" t="s">
        <v>87</v>
      </c>
    </row>
    <row r="7" spans="1:17" ht="21.95" customHeight="1">
      <c r="A7" s="4" t="s">
        <v>88</v>
      </c>
      <c r="B7" s="3" t="s">
        <v>22</v>
      </c>
      <c r="C7" s="4" t="s">
        <v>21</v>
      </c>
      <c r="D7" s="90"/>
      <c r="E7" s="91"/>
      <c r="F7" s="90"/>
      <c r="G7" s="91"/>
      <c r="H7" s="90"/>
      <c r="I7" s="91"/>
      <c r="J7" s="90"/>
      <c r="K7" s="91"/>
      <c r="L7" s="90"/>
      <c r="M7" s="91"/>
      <c r="N7" s="90"/>
      <c r="O7" s="91"/>
      <c r="P7" s="2" t="s">
        <v>87</v>
      </c>
    </row>
    <row r="8" spans="1:17" ht="21.95" customHeight="1">
      <c r="A8" s="4" t="s">
        <v>89</v>
      </c>
      <c r="B8" s="3" t="s">
        <v>23</v>
      </c>
      <c r="C8" s="4" t="s">
        <v>19</v>
      </c>
      <c r="D8" s="90"/>
      <c r="E8" s="91"/>
      <c r="F8" s="90"/>
      <c r="G8" s="91"/>
      <c r="H8" s="90"/>
      <c r="I8" s="91"/>
      <c r="J8" s="90"/>
      <c r="K8" s="91"/>
      <c r="L8" s="90"/>
      <c r="M8" s="91"/>
      <c r="N8" s="90"/>
      <c r="O8" s="91"/>
      <c r="P8" s="2" t="s">
        <v>90</v>
      </c>
    </row>
    <row r="9" spans="1:17" ht="21.95" customHeight="1">
      <c r="A9" s="6" t="s">
        <v>91</v>
      </c>
      <c r="B9" s="5" t="s">
        <v>25</v>
      </c>
      <c r="C9" s="6" t="s">
        <v>19</v>
      </c>
      <c r="D9" s="90"/>
      <c r="E9" s="91"/>
      <c r="F9" s="90"/>
      <c r="G9" s="91"/>
      <c r="H9" s="90"/>
      <c r="I9" s="91"/>
      <c r="J9" s="90"/>
      <c r="K9" s="91"/>
      <c r="L9" s="90"/>
      <c r="M9" s="91"/>
      <c r="N9" s="90"/>
      <c r="O9" s="91"/>
      <c r="P9" s="2" t="s">
        <v>92</v>
      </c>
    </row>
    <row r="10" spans="1:17" ht="21.95" customHeight="1">
      <c r="A10" s="6" t="s">
        <v>93</v>
      </c>
      <c r="B10" s="5" t="s">
        <v>26</v>
      </c>
      <c r="C10" s="6" t="s">
        <v>19</v>
      </c>
      <c r="D10" s="90"/>
      <c r="E10" s="91"/>
      <c r="F10" s="90"/>
      <c r="G10" s="91"/>
      <c r="H10" s="90"/>
      <c r="I10" s="91"/>
      <c r="J10" s="90"/>
      <c r="K10" s="91"/>
      <c r="L10" s="90"/>
      <c r="M10" s="91"/>
      <c r="N10" s="90"/>
      <c r="O10" s="91"/>
      <c r="P10" s="2" t="s">
        <v>90</v>
      </c>
    </row>
    <row r="11" spans="1:17" ht="21.95" customHeight="1">
      <c r="A11" s="6" t="s">
        <v>94</v>
      </c>
      <c r="B11" s="5" t="s">
        <v>27</v>
      </c>
      <c r="C11" s="6" t="s">
        <v>19</v>
      </c>
      <c r="D11" s="90"/>
      <c r="E11" s="91"/>
      <c r="F11" s="90"/>
      <c r="G11" s="91"/>
      <c r="H11" s="90"/>
      <c r="I11" s="91"/>
      <c r="J11" s="90"/>
      <c r="K11" s="91"/>
      <c r="L11" s="90"/>
      <c r="M11" s="91"/>
      <c r="N11" s="90"/>
      <c r="O11" s="91"/>
      <c r="P11" s="2" t="s">
        <v>90</v>
      </c>
    </row>
    <row r="12" spans="1:17" ht="21.95" customHeight="1">
      <c r="A12" s="8" t="s">
        <v>95</v>
      </c>
      <c r="B12" s="7" t="s">
        <v>29</v>
      </c>
      <c r="C12" s="8" t="s">
        <v>30</v>
      </c>
      <c r="D12" s="92"/>
      <c r="E12" s="93"/>
      <c r="F12" s="92"/>
      <c r="G12" s="93"/>
      <c r="H12" s="92"/>
      <c r="I12" s="93"/>
      <c r="J12" s="92"/>
      <c r="K12" s="93"/>
      <c r="L12" s="92"/>
      <c r="M12" s="93"/>
      <c r="N12" s="92"/>
      <c r="O12" s="93"/>
      <c r="P12" s="2" t="s">
        <v>96</v>
      </c>
    </row>
    <row r="13" spans="1:17" ht="21.95" customHeight="1">
      <c r="A13" s="8" t="s">
        <v>97</v>
      </c>
      <c r="B13" s="7" t="s">
        <v>31</v>
      </c>
      <c r="C13" s="8" t="s">
        <v>30</v>
      </c>
      <c r="D13" s="92"/>
      <c r="E13" s="93"/>
      <c r="F13" s="92"/>
      <c r="G13" s="93"/>
      <c r="H13" s="92"/>
      <c r="I13" s="93"/>
      <c r="J13" s="92"/>
      <c r="K13" s="93"/>
      <c r="L13" s="92"/>
      <c r="M13" s="93"/>
      <c r="N13" s="92"/>
      <c r="O13" s="93"/>
      <c r="P13" s="2" t="s">
        <v>98</v>
      </c>
    </row>
    <row r="14" spans="1:17" ht="21.95" customHeight="1">
      <c r="A14" s="8" t="s">
        <v>99</v>
      </c>
      <c r="B14" s="7" t="s">
        <v>32</v>
      </c>
      <c r="C14" s="8" t="s">
        <v>33</v>
      </c>
      <c r="D14" s="94"/>
      <c r="E14" s="95"/>
      <c r="F14" s="94"/>
      <c r="G14" s="95"/>
      <c r="H14" s="94"/>
      <c r="I14" s="95"/>
      <c r="J14" s="94"/>
      <c r="K14" s="95"/>
      <c r="L14" s="94"/>
      <c r="M14" s="95"/>
      <c r="N14" s="94"/>
      <c r="O14" s="95"/>
      <c r="P14" s="2" t="s">
        <v>100</v>
      </c>
    </row>
    <row r="15" spans="1:17" ht="21.95" customHeight="1">
      <c r="A15" s="10" t="s">
        <v>101</v>
      </c>
      <c r="B15" s="9" t="s">
        <v>35</v>
      </c>
      <c r="C15" s="10" t="s">
        <v>30</v>
      </c>
      <c r="D15" s="90"/>
      <c r="E15" s="91"/>
      <c r="F15" s="90"/>
      <c r="G15" s="91"/>
      <c r="H15" s="90"/>
      <c r="I15" s="91"/>
      <c r="J15" s="90"/>
      <c r="K15" s="91"/>
      <c r="L15" s="90"/>
      <c r="M15" s="91"/>
      <c r="N15" s="90"/>
      <c r="O15" s="91"/>
      <c r="P15" s="2" t="s">
        <v>90</v>
      </c>
    </row>
    <row r="16" spans="1:17" ht="21.95" customHeight="1">
      <c r="A16" s="10" t="s">
        <v>102</v>
      </c>
      <c r="B16" s="9" t="s">
        <v>36</v>
      </c>
      <c r="C16" s="10" t="s">
        <v>19</v>
      </c>
      <c r="D16" s="90"/>
      <c r="E16" s="91"/>
      <c r="F16" s="90"/>
      <c r="G16" s="91"/>
      <c r="H16" s="91"/>
      <c r="I16" s="91"/>
      <c r="J16" s="91"/>
      <c r="K16" s="91"/>
      <c r="L16" s="90"/>
      <c r="M16" s="91"/>
      <c r="N16" s="91"/>
      <c r="O16" s="91"/>
      <c r="P16" s="2" t="s">
        <v>103</v>
      </c>
    </row>
    <row r="17" spans="1:16" ht="21.95" customHeight="1">
      <c r="A17" s="12" t="s">
        <v>104</v>
      </c>
      <c r="B17" s="11" t="s">
        <v>38</v>
      </c>
      <c r="C17" s="12" t="s">
        <v>39</v>
      </c>
      <c r="D17" s="92"/>
      <c r="E17" s="93"/>
      <c r="F17" s="92"/>
      <c r="G17" s="93"/>
      <c r="H17" s="92"/>
      <c r="I17" s="93"/>
      <c r="J17" s="92"/>
      <c r="K17" s="93"/>
      <c r="L17" s="92"/>
      <c r="M17" s="93"/>
      <c r="N17" s="92"/>
      <c r="O17" s="93"/>
      <c r="P17" s="2" t="s">
        <v>98</v>
      </c>
    </row>
    <row r="18" spans="1:16" ht="21.95" customHeight="1">
      <c r="A18" s="12" t="s">
        <v>105</v>
      </c>
      <c r="B18" s="11" t="s">
        <v>40</v>
      </c>
      <c r="C18" s="12" t="s">
        <v>39</v>
      </c>
      <c r="D18" s="92"/>
      <c r="E18" s="93"/>
      <c r="F18" s="92"/>
      <c r="G18" s="93"/>
      <c r="H18" s="92"/>
      <c r="I18" s="93"/>
      <c r="J18" s="92"/>
      <c r="K18" s="93"/>
      <c r="L18" s="92"/>
      <c r="M18" s="93"/>
      <c r="N18" s="92"/>
      <c r="O18" s="93"/>
      <c r="P18" s="2" t="s">
        <v>100</v>
      </c>
    </row>
    <row r="19" spans="1:16" ht="21.95" customHeight="1">
      <c r="A19" s="12" t="s">
        <v>106</v>
      </c>
      <c r="B19" s="11" t="s">
        <v>107</v>
      </c>
      <c r="C19" s="12" t="s">
        <v>33</v>
      </c>
      <c r="D19" s="94"/>
      <c r="E19" s="95"/>
      <c r="F19" s="94"/>
      <c r="G19" s="95"/>
      <c r="H19" s="94"/>
      <c r="I19" s="95"/>
      <c r="J19" s="94"/>
      <c r="K19" s="95"/>
      <c r="L19" s="94"/>
      <c r="M19" s="95"/>
      <c r="N19" s="94"/>
      <c r="O19" s="95"/>
      <c r="P19" s="2" t="s">
        <v>100</v>
      </c>
    </row>
    <row r="20" spans="1:16" ht="21.95" customHeight="1">
      <c r="A20" s="14" t="s">
        <v>108</v>
      </c>
      <c r="B20" s="13" t="s">
        <v>43</v>
      </c>
      <c r="C20" s="14" t="s">
        <v>44</v>
      </c>
      <c r="D20" s="90"/>
      <c r="E20" s="91"/>
      <c r="F20" s="90"/>
      <c r="G20" s="91"/>
      <c r="H20" s="90"/>
      <c r="I20" s="91"/>
      <c r="J20" s="90"/>
      <c r="K20" s="91"/>
      <c r="L20" s="90"/>
      <c r="M20" s="91"/>
      <c r="N20" s="90"/>
      <c r="O20" s="91"/>
      <c r="P20" s="2" t="s">
        <v>90</v>
      </c>
    </row>
    <row r="21" spans="1:16" ht="21.95" customHeight="1">
      <c r="A21" s="14" t="s">
        <v>109</v>
      </c>
      <c r="B21" s="13" t="s">
        <v>45</v>
      </c>
      <c r="C21" s="14" t="s">
        <v>44</v>
      </c>
      <c r="D21" s="90"/>
      <c r="E21" s="91"/>
      <c r="F21" s="90"/>
      <c r="G21" s="91"/>
      <c r="H21" s="90"/>
      <c r="I21" s="91"/>
      <c r="J21" s="90"/>
      <c r="K21" s="91"/>
      <c r="L21" s="90"/>
      <c r="M21" s="91"/>
      <c r="N21" s="90"/>
      <c r="O21" s="91"/>
      <c r="P21" s="2" t="s">
        <v>90</v>
      </c>
    </row>
    <row r="22" spans="1:16" ht="21.95" customHeight="1">
      <c r="A22" s="14" t="s">
        <v>110</v>
      </c>
      <c r="B22" s="13" t="s">
        <v>46</v>
      </c>
      <c r="C22" s="14" t="s">
        <v>47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94"/>
      <c r="O22" s="95"/>
      <c r="P22" s="2" t="s">
        <v>90</v>
      </c>
    </row>
    <row r="23" spans="1:16" ht="21.95" customHeight="1">
      <c r="A23" s="16" t="s">
        <v>111</v>
      </c>
      <c r="B23" s="15" t="s">
        <v>112</v>
      </c>
      <c r="C23" s="16" t="s">
        <v>51</v>
      </c>
      <c r="D23" s="96"/>
      <c r="E23" s="97"/>
      <c r="F23" s="98"/>
      <c r="G23" s="97"/>
      <c r="H23" s="98"/>
      <c r="I23" s="97"/>
      <c r="J23" s="98"/>
      <c r="K23" s="97"/>
      <c r="L23" s="98"/>
      <c r="M23" s="97"/>
      <c r="N23" s="98"/>
      <c r="O23" s="97"/>
      <c r="P23" s="2" t="s">
        <v>100</v>
      </c>
    </row>
  </sheetData>
  <mergeCells count="2">
    <mergeCell ref="A1:Q1"/>
    <mergeCell ref="A2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1B125-73AB-A341-B195-E7F25DF3467E}">
  <sheetPr>
    <tabColor rgb="FF375623"/>
  </sheetPr>
  <dimension ref="A1:P22"/>
  <sheetViews>
    <sheetView workbookViewId="0">
      <pane ySplit="3" topLeftCell="A4" activePane="bottomLeft" state="frozen"/>
      <selection pane="bottomLeft" activeCell="N17" sqref="N17"/>
    </sheetView>
  </sheetViews>
  <sheetFormatPr defaultColWidth="11" defaultRowHeight="15.95"/>
  <cols>
    <col min="1" max="1" width="6.625" customWidth="1"/>
    <col min="2" max="2" width="16.625" customWidth="1"/>
    <col min="3" max="3" width="26.625" customWidth="1"/>
    <col min="4" max="4" width="36.625" customWidth="1"/>
    <col min="6" max="6" width="11.625" customWidth="1"/>
    <col min="7" max="9" width="26.625" customWidth="1"/>
    <col min="10" max="15" width="21.625" customWidth="1"/>
    <col min="16" max="16" width="36.625" customWidth="1"/>
  </cols>
  <sheetData>
    <row r="1" spans="1:16" ht="27.95" customHeight="1">
      <c r="A1" s="101" t="s">
        <v>113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</row>
    <row r="3" spans="1:16" ht="36" customHeight="1">
      <c r="A3" s="17" t="s">
        <v>69</v>
      </c>
      <c r="B3" s="18" t="s">
        <v>5</v>
      </c>
      <c r="C3" s="18" t="s">
        <v>114</v>
      </c>
      <c r="D3" s="18" t="s">
        <v>115</v>
      </c>
      <c r="E3" s="17" t="s">
        <v>7</v>
      </c>
      <c r="F3" s="17" t="s">
        <v>116</v>
      </c>
      <c r="G3" s="18" t="s">
        <v>117</v>
      </c>
      <c r="H3" s="18" t="s">
        <v>118</v>
      </c>
      <c r="I3" s="18" t="s">
        <v>119</v>
      </c>
      <c r="J3" s="18" t="s">
        <v>120</v>
      </c>
      <c r="K3" s="18" t="s">
        <v>121</v>
      </c>
      <c r="L3" s="18" t="s">
        <v>122</v>
      </c>
      <c r="M3" s="18" t="s">
        <v>123</v>
      </c>
      <c r="N3" s="18" t="s">
        <v>124</v>
      </c>
      <c r="O3" s="18" t="s">
        <v>125</v>
      </c>
      <c r="P3" s="18" t="s">
        <v>126</v>
      </c>
    </row>
    <row r="4" spans="1:16" ht="36" customHeight="1">
      <c r="A4" s="19" t="s">
        <v>84</v>
      </c>
      <c r="B4" s="20" t="s">
        <v>127</v>
      </c>
      <c r="C4" s="20" t="s">
        <v>18</v>
      </c>
      <c r="D4" s="20" t="s">
        <v>128</v>
      </c>
      <c r="E4" s="21" t="s">
        <v>19</v>
      </c>
      <c r="F4" s="21" t="s">
        <v>85</v>
      </c>
      <c r="G4" s="20" t="s">
        <v>129</v>
      </c>
      <c r="H4" s="20" t="s">
        <v>130</v>
      </c>
      <c r="I4" s="20" t="s">
        <v>131</v>
      </c>
      <c r="J4" s="20" t="s">
        <v>132</v>
      </c>
      <c r="K4" s="20" t="s">
        <v>133</v>
      </c>
      <c r="L4" s="20" t="s">
        <v>134</v>
      </c>
      <c r="M4" s="20" t="s">
        <v>135</v>
      </c>
      <c r="N4" s="20" t="s">
        <v>136</v>
      </c>
      <c r="O4" s="20" t="s">
        <v>137</v>
      </c>
      <c r="P4" s="20" t="s">
        <v>138</v>
      </c>
    </row>
    <row r="5" spans="1:16" ht="36" customHeight="1">
      <c r="A5" s="19" t="s">
        <v>86</v>
      </c>
      <c r="B5" s="20" t="s">
        <v>127</v>
      </c>
      <c r="C5" s="20" t="s">
        <v>20</v>
      </c>
      <c r="D5" s="20" t="s">
        <v>139</v>
      </c>
      <c r="E5" s="21" t="s">
        <v>21</v>
      </c>
      <c r="F5" s="21" t="s">
        <v>90</v>
      </c>
      <c r="G5" s="20" t="s">
        <v>140</v>
      </c>
      <c r="H5" s="20" t="s">
        <v>141</v>
      </c>
      <c r="I5" s="20" t="s">
        <v>142</v>
      </c>
      <c r="J5" s="20" t="s">
        <v>143</v>
      </c>
      <c r="K5" s="20" t="s">
        <v>144</v>
      </c>
      <c r="L5" s="20" t="s">
        <v>145</v>
      </c>
      <c r="M5" s="20" t="s">
        <v>146</v>
      </c>
      <c r="N5" s="20" t="s">
        <v>147</v>
      </c>
      <c r="O5" s="20" t="s">
        <v>148</v>
      </c>
      <c r="P5" s="20" t="s">
        <v>149</v>
      </c>
    </row>
    <row r="6" spans="1:16" ht="36" customHeight="1">
      <c r="A6" s="19" t="s">
        <v>88</v>
      </c>
      <c r="B6" s="20" t="s">
        <v>127</v>
      </c>
      <c r="C6" s="20" t="s">
        <v>22</v>
      </c>
      <c r="D6" s="20" t="s">
        <v>150</v>
      </c>
      <c r="E6" s="21" t="s">
        <v>21</v>
      </c>
      <c r="F6" s="21" t="s">
        <v>90</v>
      </c>
      <c r="G6" s="20" t="s">
        <v>140</v>
      </c>
      <c r="H6" s="20" t="s">
        <v>141</v>
      </c>
      <c r="I6" s="20" t="s">
        <v>142</v>
      </c>
      <c r="J6" s="20" t="s">
        <v>151</v>
      </c>
      <c r="K6" s="20" t="s">
        <v>152</v>
      </c>
      <c r="L6" s="20" t="s">
        <v>153</v>
      </c>
      <c r="M6" s="20" t="s">
        <v>154</v>
      </c>
      <c r="N6" s="20" t="s">
        <v>155</v>
      </c>
      <c r="O6" s="20" t="s">
        <v>156</v>
      </c>
      <c r="P6" s="20" t="s">
        <v>157</v>
      </c>
    </row>
    <row r="7" spans="1:16" ht="36" customHeight="1">
      <c r="A7" s="19" t="s">
        <v>89</v>
      </c>
      <c r="B7" s="20" t="s">
        <v>127</v>
      </c>
      <c r="C7" s="20" t="s">
        <v>23</v>
      </c>
      <c r="D7" s="20" t="s">
        <v>158</v>
      </c>
      <c r="E7" s="21" t="s">
        <v>19</v>
      </c>
      <c r="F7" s="21" t="s">
        <v>90</v>
      </c>
      <c r="G7" s="20" t="s">
        <v>159</v>
      </c>
      <c r="H7" s="20" t="s">
        <v>160</v>
      </c>
      <c r="I7" s="20" t="s">
        <v>161</v>
      </c>
      <c r="J7" s="20" t="s">
        <v>162</v>
      </c>
      <c r="K7" s="20" t="s">
        <v>163</v>
      </c>
      <c r="L7" s="20" t="s">
        <v>164</v>
      </c>
      <c r="M7" s="20" t="s">
        <v>165</v>
      </c>
      <c r="N7" s="20" t="s">
        <v>166</v>
      </c>
      <c r="O7" s="20" t="s">
        <v>167</v>
      </c>
      <c r="P7" s="20"/>
    </row>
    <row r="8" spans="1:16" ht="36" customHeight="1">
      <c r="A8" s="19" t="s">
        <v>91</v>
      </c>
      <c r="B8" s="22" t="s">
        <v>168</v>
      </c>
      <c r="C8" s="22" t="s">
        <v>25</v>
      </c>
      <c r="D8" s="22" t="s">
        <v>169</v>
      </c>
      <c r="E8" s="23" t="s">
        <v>19</v>
      </c>
      <c r="F8" s="23" t="s">
        <v>90</v>
      </c>
      <c r="G8" s="22" t="s">
        <v>170</v>
      </c>
      <c r="H8" s="22" t="s">
        <v>171</v>
      </c>
      <c r="I8" s="22" t="s">
        <v>172</v>
      </c>
      <c r="J8" s="22" t="s">
        <v>173</v>
      </c>
      <c r="K8" s="22" t="s">
        <v>174</v>
      </c>
      <c r="L8" s="22" t="s">
        <v>175</v>
      </c>
      <c r="M8" s="22" t="s">
        <v>176</v>
      </c>
      <c r="N8" s="22" t="s">
        <v>177</v>
      </c>
      <c r="O8" s="22" t="s">
        <v>178</v>
      </c>
      <c r="P8" s="22" t="s">
        <v>179</v>
      </c>
    </row>
    <row r="9" spans="1:16" ht="36" customHeight="1">
      <c r="A9" s="19" t="s">
        <v>93</v>
      </c>
      <c r="B9" s="22" t="s">
        <v>168</v>
      </c>
      <c r="C9" s="22" t="s">
        <v>26</v>
      </c>
      <c r="D9" s="22" t="s">
        <v>180</v>
      </c>
      <c r="E9" s="23" t="s">
        <v>19</v>
      </c>
      <c r="F9" s="23" t="s">
        <v>90</v>
      </c>
      <c r="G9" s="22" t="s">
        <v>181</v>
      </c>
      <c r="H9" s="22" t="s">
        <v>182</v>
      </c>
      <c r="I9" s="22" t="s">
        <v>183</v>
      </c>
      <c r="J9" s="22" t="s">
        <v>184</v>
      </c>
      <c r="K9" s="22" t="s">
        <v>185</v>
      </c>
      <c r="L9" s="22" t="s">
        <v>186</v>
      </c>
      <c r="M9" s="22" t="s">
        <v>187</v>
      </c>
      <c r="N9" s="22" t="s">
        <v>188</v>
      </c>
      <c r="O9" s="22" t="s">
        <v>189</v>
      </c>
      <c r="P9" s="22" t="s">
        <v>190</v>
      </c>
    </row>
    <row r="10" spans="1:16" ht="36" customHeight="1">
      <c r="A10" s="19" t="s">
        <v>94</v>
      </c>
      <c r="B10" s="22" t="s">
        <v>168</v>
      </c>
      <c r="C10" s="22" t="s">
        <v>27</v>
      </c>
      <c r="D10" s="22" t="s">
        <v>191</v>
      </c>
      <c r="E10" s="23" t="s">
        <v>19</v>
      </c>
      <c r="F10" s="23" t="s">
        <v>90</v>
      </c>
      <c r="G10" s="22" t="s">
        <v>192</v>
      </c>
      <c r="H10" s="22" t="s">
        <v>193</v>
      </c>
      <c r="I10" s="22" t="s">
        <v>194</v>
      </c>
      <c r="J10" s="22" t="s">
        <v>195</v>
      </c>
      <c r="K10" s="22" t="s">
        <v>196</v>
      </c>
      <c r="L10" s="22" t="s">
        <v>197</v>
      </c>
      <c r="M10" s="22" t="s">
        <v>198</v>
      </c>
      <c r="N10" s="22" t="s">
        <v>199</v>
      </c>
      <c r="O10" s="22" t="s">
        <v>200</v>
      </c>
      <c r="P10" s="22" t="s">
        <v>201</v>
      </c>
    </row>
    <row r="11" spans="1:16" ht="36" customHeight="1">
      <c r="A11" s="19" t="s">
        <v>95</v>
      </c>
      <c r="B11" s="24" t="s">
        <v>202</v>
      </c>
      <c r="C11" s="24" t="s">
        <v>29</v>
      </c>
      <c r="D11" s="24" t="s">
        <v>203</v>
      </c>
      <c r="E11" s="25" t="s">
        <v>30</v>
      </c>
      <c r="F11" s="25" t="s">
        <v>204</v>
      </c>
      <c r="G11" s="24" t="s">
        <v>205</v>
      </c>
      <c r="H11" s="24" t="s">
        <v>206</v>
      </c>
      <c r="I11" s="24" t="s">
        <v>207</v>
      </c>
      <c r="J11" s="24" t="s">
        <v>208</v>
      </c>
      <c r="K11" s="24" t="s">
        <v>209</v>
      </c>
      <c r="L11" s="24" t="s">
        <v>210</v>
      </c>
      <c r="M11" s="24" t="s">
        <v>211</v>
      </c>
      <c r="N11" s="24" t="s">
        <v>212</v>
      </c>
      <c r="O11" s="24" t="s">
        <v>213</v>
      </c>
      <c r="P11" s="24" t="s">
        <v>214</v>
      </c>
    </row>
    <row r="12" spans="1:16" ht="36" customHeight="1">
      <c r="A12" s="19" t="s">
        <v>97</v>
      </c>
      <c r="B12" s="24" t="s">
        <v>202</v>
      </c>
      <c r="C12" s="24" t="s">
        <v>215</v>
      </c>
      <c r="D12" s="24" t="s">
        <v>216</v>
      </c>
      <c r="E12" s="25" t="s">
        <v>30</v>
      </c>
      <c r="F12" s="25" t="s">
        <v>217</v>
      </c>
      <c r="G12" s="24" t="s">
        <v>218</v>
      </c>
      <c r="H12" s="24" t="s">
        <v>219</v>
      </c>
      <c r="I12" s="24" t="s">
        <v>220</v>
      </c>
      <c r="J12" s="24" t="s">
        <v>221</v>
      </c>
      <c r="K12" s="24" t="s">
        <v>222</v>
      </c>
      <c r="L12" s="24" t="s">
        <v>223</v>
      </c>
      <c r="M12" s="24" t="s">
        <v>224</v>
      </c>
      <c r="N12" s="24" t="s">
        <v>225</v>
      </c>
      <c r="O12" s="24" t="s">
        <v>226</v>
      </c>
      <c r="P12" s="24" t="s">
        <v>227</v>
      </c>
    </row>
    <row r="13" spans="1:16" ht="36" customHeight="1">
      <c r="A13" s="19" t="s">
        <v>99</v>
      </c>
      <c r="B13" s="24" t="s">
        <v>202</v>
      </c>
      <c r="C13" s="24" t="s">
        <v>228</v>
      </c>
      <c r="D13" s="24" t="s">
        <v>229</v>
      </c>
      <c r="E13" s="25" t="s">
        <v>33</v>
      </c>
      <c r="F13" s="25" t="s">
        <v>100</v>
      </c>
      <c r="G13" s="24" t="s">
        <v>230</v>
      </c>
      <c r="H13" s="24" t="s">
        <v>231</v>
      </c>
      <c r="I13" s="24" t="s">
        <v>232</v>
      </c>
      <c r="J13" s="24" t="s">
        <v>233</v>
      </c>
      <c r="K13" s="24" t="s">
        <v>234</v>
      </c>
      <c r="L13" s="24" t="s">
        <v>235</v>
      </c>
      <c r="M13" s="24" t="s">
        <v>236</v>
      </c>
      <c r="N13" s="24" t="s">
        <v>237</v>
      </c>
      <c r="O13" s="24" t="s">
        <v>238</v>
      </c>
      <c r="P13" s="24" t="s">
        <v>239</v>
      </c>
    </row>
    <row r="14" spans="1:16" ht="36" customHeight="1">
      <c r="A14" s="19" t="s">
        <v>101</v>
      </c>
      <c r="B14" s="26" t="s">
        <v>240</v>
      </c>
      <c r="C14" s="26" t="s">
        <v>35</v>
      </c>
      <c r="D14" s="26" t="s">
        <v>241</v>
      </c>
      <c r="E14" s="27" t="s">
        <v>30</v>
      </c>
      <c r="F14" s="27" t="s">
        <v>90</v>
      </c>
      <c r="G14" s="26" t="s">
        <v>242</v>
      </c>
      <c r="H14" s="26" t="s">
        <v>243</v>
      </c>
      <c r="I14" s="26" t="s">
        <v>244</v>
      </c>
      <c r="J14" s="26" t="s">
        <v>245</v>
      </c>
      <c r="K14" s="26" t="s">
        <v>246</v>
      </c>
      <c r="L14" s="26" t="s">
        <v>247</v>
      </c>
      <c r="M14" s="26" t="s">
        <v>248</v>
      </c>
      <c r="N14" s="26" t="s">
        <v>249</v>
      </c>
      <c r="O14" s="26" t="s">
        <v>250</v>
      </c>
      <c r="P14" s="26" t="s">
        <v>251</v>
      </c>
    </row>
    <row r="15" spans="1:16" ht="36" customHeight="1">
      <c r="A15" s="19" t="s">
        <v>102</v>
      </c>
      <c r="B15" s="26" t="s">
        <v>240</v>
      </c>
      <c r="C15" s="26" t="s">
        <v>36</v>
      </c>
      <c r="D15" s="26" t="s">
        <v>252</v>
      </c>
      <c r="E15" s="27" t="s">
        <v>19</v>
      </c>
      <c r="F15" s="27" t="s">
        <v>90</v>
      </c>
      <c r="G15" s="26" t="s">
        <v>253</v>
      </c>
      <c r="H15" s="26" t="s">
        <v>254</v>
      </c>
      <c r="I15" s="26" t="s">
        <v>255</v>
      </c>
      <c r="J15" s="26" t="s">
        <v>256</v>
      </c>
      <c r="K15" s="26" t="s">
        <v>257</v>
      </c>
      <c r="L15" s="26" t="s">
        <v>258</v>
      </c>
      <c r="M15" s="26" t="s">
        <v>259</v>
      </c>
      <c r="N15" s="26" t="s">
        <v>260</v>
      </c>
      <c r="O15" s="26" t="s">
        <v>261</v>
      </c>
      <c r="P15" s="26" t="s">
        <v>262</v>
      </c>
    </row>
    <row r="16" spans="1:16" ht="36" customHeight="1">
      <c r="A16" s="19" t="s">
        <v>104</v>
      </c>
      <c r="B16" s="28" t="s">
        <v>263</v>
      </c>
      <c r="C16" s="28" t="s">
        <v>264</v>
      </c>
      <c r="D16" s="28" t="s">
        <v>265</v>
      </c>
      <c r="E16" s="29" t="s">
        <v>39</v>
      </c>
      <c r="F16" s="29" t="s">
        <v>100</v>
      </c>
      <c r="G16" s="28" t="s">
        <v>266</v>
      </c>
      <c r="H16" s="28" t="s">
        <v>267</v>
      </c>
      <c r="I16" s="28" t="s">
        <v>268</v>
      </c>
      <c r="J16" s="28" t="s">
        <v>269</v>
      </c>
      <c r="K16" s="28" t="s">
        <v>270</v>
      </c>
      <c r="L16" s="28" t="s">
        <v>271</v>
      </c>
      <c r="M16" s="28" t="s">
        <v>272</v>
      </c>
      <c r="N16" s="28" t="s">
        <v>273</v>
      </c>
      <c r="O16" s="28" t="s">
        <v>274</v>
      </c>
      <c r="P16" s="28" t="s">
        <v>275</v>
      </c>
    </row>
    <row r="17" spans="1:16" ht="36" customHeight="1">
      <c r="A17" s="19" t="s">
        <v>105</v>
      </c>
      <c r="B17" s="28" t="s">
        <v>263</v>
      </c>
      <c r="C17" s="28" t="s">
        <v>276</v>
      </c>
      <c r="D17" s="28" t="s">
        <v>277</v>
      </c>
      <c r="E17" s="29" t="s">
        <v>39</v>
      </c>
      <c r="F17" s="29" t="s">
        <v>100</v>
      </c>
      <c r="G17" s="28" t="s">
        <v>278</v>
      </c>
      <c r="H17" s="28" t="s">
        <v>279</v>
      </c>
      <c r="I17" s="28" t="s">
        <v>280</v>
      </c>
      <c r="J17" s="28" t="s">
        <v>281</v>
      </c>
      <c r="K17" s="28" t="s">
        <v>282</v>
      </c>
      <c r="L17" s="28" t="s">
        <v>283</v>
      </c>
      <c r="M17" s="28" t="s">
        <v>284</v>
      </c>
      <c r="N17" s="28" t="s">
        <v>285</v>
      </c>
      <c r="O17" s="28" t="s">
        <v>286</v>
      </c>
      <c r="P17" s="28" t="s">
        <v>287</v>
      </c>
    </row>
    <row r="18" spans="1:16" ht="36" customHeight="1">
      <c r="A18" s="19" t="s">
        <v>106</v>
      </c>
      <c r="B18" s="28" t="s">
        <v>263</v>
      </c>
      <c r="C18" s="28" t="s">
        <v>288</v>
      </c>
      <c r="D18" s="28" t="s">
        <v>289</v>
      </c>
      <c r="E18" s="29" t="s">
        <v>33</v>
      </c>
      <c r="F18" s="29" t="s">
        <v>100</v>
      </c>
      <c r="G18" s="28" t="s">
        <v>290</v>
      </c>
      <c r="H18" s="28" t="s">
        <v>291</v>
      </c>
      <c r="I18" s="28" t="s">
        <v>292</v>
      </c>
      <c r="J18" s="28" t="s">
        <v>293</v>
      </c>
      <c r="K18" s="28" t="s">
        <v>294</v>
      </c>
      <c r="L18" s="28" t="s">
        <v>295</v>
      </c>
      <c r="M18" s="28" t="s">
        <v>296</v>
      </c>
      <c r="N18" s="28" t="s">
        <v>297</v>
      </c>
      <c r="O18" s="28" t="s">
        <v>298</v>
      </c>
      <c r="P18" s="28" t="s">
        <v>299</v>
      </c>
    </row>
    <row r="19" spans="1:16" ht="36" customHeight="1">
      <c r="A19" s="19" t="s">
        <v>108</v>
      </c>
      <c r="B19" s="30" t="s">
        <v>300</v>
      </c>
      <c r="C19" s="30" t="s">
        <v>43</v>
      </c>
      <c r="D19" s="30" t="s">
        <v>301</v>
      </c>
      <c r="E19" s="31" t="s">
        <v>44</v>
      </c>
      <c r="F19" s="31" t="s">
        <v>90</v>
      </c>
      <c r="G19" s="30" t="s">
        <v>302</v>
      </c>
      <c r="H19" s="30" t="s">
        <v>303</v>
      </c>
      <c r="I19" s="30" t="s">
        <v>304</v>
      </c>
      <c r="J19" s="30" t="s">
        <v>305</v>
      </c>
      <c r="K19" s="30" t="s">
        <v>306</v>
      </c>
      <c r="L19" s="30" t="s">
        <v>307</v>
      </c>
      <c r="M19" s="30" t="s">
        <v>308</v>
      </c>
      <c r="N19" s="30" t="s">
        <v>309</v>
      </c>
      <c r="O19" s="30" t="s">
        <v>310</v>
      </c>
      <c r="P19" s="30" t="s">
        <v>311</v>
      </c>
    </row>
    <row r="20" spans="1:16" ht="36" customHeight="1">
      <c r="A20" s="19" t="s">
        <v>109</v>
      </c>
      <c r="B20" s="30" t="s">
        <v>300</v>
      </c>
      <c r="C20" s="30" t="s">
        <v>45</v>
      </c>
      <c r="D20" s="30" t="s">
        <v>312</v>
      </c>
      <c r="E20" s="31" t="s">
        <v>44</v>
      </c>
      <c r="F20" s="31" t="s">
        <v>90</v>
      </c>
      <c r="G20" s="30" t="s">
        <v>313</v>
      </c>
      <c r="H20" s="30" t="s">
        <v>314</v>
      </c>
      <c r="I20" s="30" t="s">
        <v>315</v>
      </c>
      <c r="J20" s="30" t="s">
        <v>316</v>
      </c>
      <c r="K20" s="30" t="s">
        <v>317</v>
      </c>
      <c r="L20" s="30" t="s">
        <v>318</v>
      </c>
      <c r="M20" s="30" t="s">
        <v>319</v>
      </c>
      <c r="N20" s="30" t="s">
        <v>320</v>
      </c>
      <c r="O20" s="30" t="s">
        <v>321</v>
      </c>
      <c r="P20" s="30" t="s">
        <v>322</v>
      </c>
    </row>
    <row r="21" spans="1:16" ht="36" customHeight="1">
      <c r="A21" s="19" t="s">
        <v>110</v>
      </c>
      <c r="B21" s="30" t="s">
        <v>300</v>
      </c>
      <c r="C21" s="30" t="s">
        <v>323</v>
      </c>
      <c r="D21" s="30" t="s">
        <v>324</v>
      </c>
      <c r="E21" s="31" t="s">
        <v>47</v>
      </c>
      <c r="F21" s="31" t="s">
        <v>90</v>
      </c>
      <c r="G21" s="30" t="s">
        <v>325</v>
      </c>
      <c r="H21" s="30" t="s">
        <v>326</v>
      </c>
      <c r="I21" s="30" t="s">
        <v>327</v>
      </c>
      <c r="J21" s="30" t="s">
        <v>328</v>
      </c>
      <c r="K21" s="30" t="s">
        <v>328</v>
      </c>
      <c r="L21" s="30" t="s">
        <v>328</v>
      </c>
      <c r="M21" s="30" t="s">
        <v>328</v>
      </c>
      <c r="N21" s="30" t="s">
        <v>328</v>
      </c>
      <c r="O21" s="30" t="s">
        <v>329</v>
      </c>
      <c r="P21" s="30" t="s">
        <v>330</v>
      </c>
    </row>
    <row r="22" spans="1:16" ht="36" customHeight="1">
      <c r="A22" s="19" t="s">
        <v>111</v>
      </c>
      <c r="B22" s="32" t="s">
        <v>331</v>
      </c>
      <c r="C22" s="32" t="s">
        <v>50</v>
      </c>
      <c r="D22" s="32" t="s">
        <v>332</v>
      </c>
      <c r="E22" s="33" t="s">
        <v>51</v>
      </c>
      <c r="F22" s="33" t="s">
        <v>100</v>
      </c>
      <c r="G22" s="32" t="s">
        <v>333</v>
      </c>
      <c r="H22" s="32" t="s">
        <v>334</v>
      </c>
      <c r="I22" s="32" t="s">
        <v>335</v>
      </c>
      <c r="J22" s="32" t="s">
        <v>336</v>
      </c>
      <c r="K22" s="32" t="s">
        <v>336</v>
      </c>
      <c r="L22" s="32" t="s">
        <v>336</v>
      </c>
      <c r="M22" s="32" t="s">
        <v>336</v>
      </c>
      <c r="N22" s="32" t="s">
        <v>336</v>
      </c>
      <c r="O22" s="32" t="s">
        <v>336</v>
      </c>
      <c r="P22" s="32" t="s">
        <v>337</v>
      </c>
    </row>
  </sheetData>
  <mergeCells count="1">
    <mergeCell ref="A1:P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7FDF1-0697-8445-9BB3-334C0FA04F71}">
  <sheetPr>
    <tabColor rgb="FF7F7F7F"/>
  </sheetPr>
  <dimension ref="A1:E21"/>
  <sheetViews>
    <sheetView tabSelected="1" zoomScale="114" workbookViewId="0">
      <selection activeCell="B10" sqref="B10"/>
    </sheetView>
  </sheetViews>
  <sheetFormatPr defaultColWidth="11" defaultRowHeight="15.95"/>
  <cols>
    <col min="1" max="1" width="31.625" customWidth="1"/>
    <col min="2" max="4" width="20.5" customWidth="1"/>
    <col min="5" max="5" width="33.375" customWidth="1"/>
  </cols>
  <sheetData>
    <row r="1" spans="1:5">
      <c r="A1" s="80" t="s">
        <v>338</v>
      </c>
    </row>
    <row r="2" spans="1:5" ht="21.95" customHeight="1">
      <c r="A2" s="34" t="s">
        <v>6</v>
      </c>
      <c r="B2" s="81" t="s">
        <v>339</v>
      </c>
      <c r="C2" s="82" t="s">
        <v>340</v>
      </c>
      <c r="D2" s="83" t="s">
        <v>341</v>
      </c>
      <c r="E2" s="34" t="s">
        <v>342</v>
      </c>
    </row>
    <row r="3" spans="1:5" ht="29.1" customHeight="1">
      <c r="A3" s="1" t="s">
        <v>343</v>
      </c>
      <c r="B3" s="84" t="s">
        <v>344</v>
      </c>
      <c r="C3" s="85" t="s">
        <v>345</v>
      </c>
      <c r="D3" s="86" t="s">
        <v>346</v>
      </c>
      <c r="E3" s="89" t="s">
        <v>347</v>
      </c>
    </row>
    <row r="4" spans="1:5" ht="29.1" customHeight="1">
      <c r="A4" s="1" t="s">
        <v>348</v>
      </c>
      <c r="B4" s="84" t="s">
        <v>349</v>
      </c>
      <c r="C4" s="85" t="s">
        <v>350</v>
      </c>
      <c r="D4" s="86" t="s">
        <v>142</v>
      </c>
      <c r="E4" s="89" t="s">
        <v>351</v>
      </c>
    </row>
    <row r="5" spans="1:5" ht="29.1" customHeight="1">
      <c r="A5" s="1" t="s">
        <v>352</v>
      </c>
      <c r="B5" s="84" t="s">
        <v>353</v>
      </c>
      <c r="C5" s="85" t="s">
        <v>354</v>
      </c>
      <c r="D5" s="86" t="s">
        <v>355</v>
      </c>
      <c r="E5" s="89" t="s">
        <v>356</v>
      </c>
    </row>
    <row r="6" spans="1:5" ht="29.1" customHeight="1">
      <c r="A6" s="1" t="s">
        <v>357</v>
      </c>
      <c r="B6" s="84" t="s">
        <v>358</v>
      </c>
      <c r="C6" s="85" t="s">
        <v>359</v>
      </c>
      <c r="D6" s="86" t="s">
        <v>360</v>
      </c>
      <c r="E6" s="89" t="s">
        <v>361</v>
      </c>
    </row>
    <row r="7" spans="1:5" ht="29.1" customHeight="1">
      <c r="A7" s="1" t="s">
        <v>362</v>
      </c>
      <c r="B7" s="84" t="s">
        <v>358</v>
      </c>
      <c r="C7" s="85" t="s">
        <v>363</v>
      </c>
      <c r="D7" s="86" t="s">
        <v>364</v>
      </c>
      <c r="E7" s="89" t="s">
        <v>365</v>
      </c>
    </row>
    <row r="8" spans="1:5" ht="29.1" customHeight="1">
      <c r="A8" s="1" t="s">
        <v>366</v>
      </c>
      <c r="B8" s="84" t="s">
        <v>367</v>
      </c>
      <c r="C8" s="85" t="s">
        <v>368</v>
      </c>
      <c r="D8" s="86" t="s">
        <v>369</v>
      </c>
      <c r="E8" s="89" t="s">
        <v>370</v>
      </c>
    </row>
    <row r="9" spans="1:5" ht="29.1" customHeight="1">
      <c r="A9" s="1" t="s">
        <v>371</v>
      </c>
      <c r="B9" s="84" t="s">
        <v>358</v>
      </c>
      <c r="C9" s="85" t="s">
        <v>363</v>
      </c>
      <c r="D9" s="86" t="s">
        <v>364</v>
      </c>
      <c r="E9" s="89" t="s">
        <v>372</v>
      </c>
    </row>
    <row r="10" spans="1:5" ht="29.1" customHeight="1">
      <c r="A10" s="1" t="s">
        <v>373</v>
      </c>
      <c r="B10" s="84" t="s">
        <v>374</v>
      </c>
      <c r="C10" s="85" t="s">
        <v>375</v>
      </c>
      <c r="D10" s="86" t="s">
        <v>376</v>
      </c>
      <c r="E10" s="89" t="s">
        <v>377</v>
      </c>
    </row>
    <row r="11" spans="1:5" ht="29.1" customHeight="1">
      <c r="A11" s="1" t="s">
        <v>378</v>
      </c>
      <c r="B11" s="84" t="s">
        <v>379</v>
      </c>
      <c r="C11" s="85" t="s">
        <v>380</v>
      </c>
      <c r="D11" s="86" t="s">
        <v>381</v>
      </c>
      <c r="E11" s="89" t="s">
        <v>382</v>
      </c>
    </row>
    <row r="12" spans="1:5" ht="29.1" customHeight="1">
      <c r="A12" s="1" t="s">
        <v>112</v>
      </c>
      <c r="B12" s="84" t="s">
        <v>383</v>
      </c>
      <c r="C12" s="85" t="s">
        <v>384</v>
      </c>
      <c r="D12" s="86" t="s">
        <v>385</v>
      </c>
      <c r="E12" s="89" t="s">
        <v>386</v>
      </c>
    </row>
    <row r="14" spans="1:5">
      <c r="A14" s="80" t="s">
        <v>387</v>
      </c>
    </row>
    <row r="15" spans="1:5">
      <c r="A15" s="38" t="s">
        <v>388</v>
      </c>
      <c r="B15" s="88" t="s">
        <v>389</v>
      </c>
    </row>
    <row r="16" spans="1:5">
      <c r="A16" s="38" t="s">
        <v>390</v>
      </c>
      <c r="B16" s="88" t="s">
        <v>391</v>
      </c>
    </row>
    <row r="17" spans="1:3">
      <c r="A17" s="38" t="s">
        <v>392</v>
      </c>
      <c r="B17" s="88" t="s">
        <v>393</v>
      </c>
    </row>
    <row r="18" spans="1:3">
      <c r="A18" s="38" t="s">
        <v>394</v>
      </c>
      <c r="B18" s="88" t="s">
        <v>395</v>
      </c>
    </row>
    <row r="20" spans="1:3">
      <c r="A20" s="80" t="s">
        <v>396</v>
      </c>
    </row>
    <row r="21" spans="1:3">
      <c r="A21" s="38" t="s">
        <v>397</v>
      </c>
      <c r="B21" s="84" t="s">
        <v>398</v>
      </c>
      <c r="C21" s="87">
        <v>46174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Harshana Wickramaarachchi</dc:creator>
  <cp:keywords/>
  <dc:description/>
  <cp:lastModifiedBy/>
  <cp:revision/>
  <dcterms:created xsi:type="dcterms:W3CDTF">2026-06-08T06:14:01Z</dcterms:created>
  <dcterms:modified xsi:type="dcterms:W3CDTF">2026-06-09T07:09:11Z</dcterms:modified>
  <cp:category/>
  <cp:contentStatus/>
</cp:coreProperties>
</file>